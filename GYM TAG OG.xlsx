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5"/>
  <workbookPr/>
  <mc:AlternateContent xmlns:mc="http://schemas.openxmlformats.org/markup-compatibility/2006">
    <mc:Choice Requires="x15">
      <x15ac:absPath xmlns:x15ac="http://schemas.microsoft.com/office/spreadsheetml/2010/11/ac" url="https://d.docs.live.net/2c919f5c33e8e2db/"/>
    </mc:Choice>
  </mc:AlternateContent>
  <xr:revisionPtr revIDLastSave="0" documentId="8_{DB3C22B9-72A3-194E-B1F7-83880B20E42C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Academy Tracker" sheetId="1" r:id="rId1"/>
    <sheet name="Fees Calculator" sheetId="5" r:id="rId2"/>
    <sheet name="timetable" sheetId="7" r:id="rId3"/>
    <sheet name="Enquiry" sheetId="4" r:id="rId4"/>
    <sheet name="complain" sheetId="2" r:id="rId5"/>
    <sheet name="Calculations" sheetId="3" r:id="rId6"/>
    <sheet name="Sheet3" sheetId="6" r:id="rId7"/>
    <sheet name="Sheet1" sheetId="8" r:id="rId8"/>
  </sheets>
  <definedNames>
    <definedName name="_xlnm._FilterDatabase" localSheetId="2" hidden="1">timetable!$B$2:$I$17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172" i="1"/>
  <c r="C3" i="5"/>
  <c r="C14" i="5" a="1"/>
  <c r="C14" i="5"/>
  <c r="D15" i="5"/>
  <c r="C15" i="5"/>
  <c r="C16" i="5"/>
  <c r="C17" i="5"/>
  <c r="C19" i="5"/>
  <c r="C20" i="5"/>
  <c r="C21" i="5"/>
  <c r="J171" i="1"/>
  <c r="J170" i="1"/>
  <c r="K15" i="5"/>
  <c r="J15" i="5"/>
  <c r="J3" i="5"/>
  <c r="J14" i="5" a="1"/>
  <c r="J14" i="5"/>
  <c r="J16" i="5"/>
  <c r="J17" i="5"/>
  <c r="CK2" i="1"/>
  <c r="CK3" i="1"/>
  <c r="CK4" i="1"/>
  <c r="CK5" i="1"/>
  <c r="CK6" i="1"/>
  <c r="CK7" i="1"/>
  <c r="CK8" i="1"/>
  <c r="CK9" i="1"/>
  <c r="CK10" i="1"/>
  <c r="CK11" i="1"/>
  <c r="CK12" i="1"/>
  <c r="CK13" i="1"/>
  <c r="CK14" i="1"/>
  <c r="CK15" i="1"/>
  <c r="CK16" i="1"/>
  <c r="CK17" i="1"/>
  <c r="CK18" i="1"/>
  <c r="CK19" i="1"/>
  <c r="CK20" i="1"/>
  <c r="CK21" i="1"/>
  <c r="O3" i="1"/>
  <c r="J4" i="1"/>
  <c r="N4" i="1"/>
  <c r="O4" i="1"/>
  <c r="J5" i="1"/>
  <c r="N5" i="1"/>
  <c r="O5" i="1"/>
  <c r="J6" i="1"/>
  <c r="N6" i="1"/>
  <c r="O6" i="1"/>
  <c r="J7" i="1"/>
  <c r="N7" i="1"/>
  <c r="O7" i="1"/>
  <c r="J8" i="1"/>
  <c r="N8" i="1"/>
  <c r="O8" i="1"/>
  <c r="J9" i="1"/>
  <c r="N9" i="1"/>
  <c r="O9" i="1"/>
  <c r="J10" i="1"/>
  <c r="O10" i="1"/>
  <c r="J11" i="1"/>
  <c r="N11" i="1"/>
  <c r="O11" i="1"/>
  <c r="J12" i="1"/>
  <c r="N12" i="1"/>
  <c r="O12" i="1"/>
  <c r="J13" i="1"/>
  <c r="N13" i="1"/>
  <c r="O13" i="1"/>
  <c r="J14" i="1"/>
  <c r="N14" i="1"/>
  <c r="O14" i="1"/>
  <c r="J15" i="1"/>
  <c r="N15" i="1"/>
  <c r="O15" i="1"/>
  <c r="J16" i="1"/>
  <c r="O16" i="1"/>
  <c r="J17" i="1"/>
  <c r="N17" i="1"/>
  <c r="O17" i="1"/>
  <c r="J18" i="1"/>
  <c r="N18" i="1"/>
  <c r="O18" i="1"/>
  <c r="J19" i="1"/>
  <c r="N19" i="1"/>
  <c r="O19" i="1"/>
  <c r="J20" i="1"/>
  <c r="N20" i="1"/>
  <c r="O20" i="1"/>
  <c r="J21" i="1"/>
  <c r="N21" i="1"/>
  <c r="O21" i="1"/>
  <c r="J22" i="1"/>
  <c r="N22" i="1"/>
  <c r="O22" i="1"/>
  <c r="J23" i="1"/>
  <c r="N23" i="1"/>
  <c r="O23" i="1"/>
  <c r="J24" i="1"/>
  <c r="O24" i="1"/>
  <c r="J25" i="1"/>
  <c r="N25" i="1"/>
  <c r="O25" i="1"/>
  <c r="J26" i="1"/>
  <c r="N26" i="1"/>
  <c r="O26" i="1"/>
  <c r="J27" i="1"/>
  <c r="N27" i="1"/>
  <c r="O27" i="1"/>
  <c r="J28" i="1"/>
  <c r="N28" i="1"/>
  <c r="O28" i="1"/>
  <c r="J29" i="1"/>
  <c r="N29" i="1"/>
  <c r="O29" i="1"/>
  <c r="J30" i="1"/>
  <c r="N30" i="1"/>
  <c r="O30" i="1"/>
  <c r="J31" i="1"/>
  <c r="N31" i="1"/>
  <c r="O31" i="1"/>
  <c r="J32" i="1"/>
  <c r="N32" i="1"/>
  <c r="O32" i="1"/>
  <c r="J33" i="1"/>
  <c r="O33" i="1"/>
  <c r="J34" i="1"/>
  <c r="N34" i="1"/>
  <c r="O34" i="1"/>
  <c r="J35" i="1"/>
  <c r="N35" i="1"/>
  <c r="O35" i="1"/>
  <c r="J36" i="1"/>
  <c r="N36" i="1"/>
  <c r="O36" i="1"/>
  <c r="J37" i="1"/>
  <c r="N37" i="1"/>
  <c r="O37" i="1"/>
  <c r="J38" i="1"/>
  <c r="N38" i="1"/>
  <c r="O38" i="1"/>
  <c r="J39" i="1"/>
  <c r="N39" i="1"/>
  <c r="O39" i="1"/>
  <c r="J40" i="1"/>
  <c r="O40" i="1"/>
  <c r="J41" i="1"/>
  <c r="N41" i="1"/>
  <c r="O41" i="1"/>
  <c r="J42" i="1"/>
  <c r="N42" i="1"/>
  <c r="O42" i="1"/>
  <c r="J43" i="1"/>
  <c r="N43" i="1"/>
  <c r="O43" i="1"/>
  <c r="J44" i="1"/>
  <c r="N44" i="1"/>
  <c r="O44" i="1"/>
  <c r="J45" i="1"/>
  <c r="N45" i="1"/>
  <c r="O45" i="1"/>
  <c r="J46" i="1"/>
  <c r="O46" i="1"/>
  <c r="J47" i="1"/>
  <c r="N47" i="1"/>
  <c r="O47" i="1"/>
  <c r="J48" i="1"/>
  <c r="O48" i="1"/>
  <c r="J49" i="1"/>
  <c r="N49" i="1"/>
  <c r="O49" i="1"/>
  <c r="J50" i="1"/>
  <c r="N50" i="1"/>
  <c r="O50" i="1"/>
  <c r="J51" i="1"/>
  <c r="N51" i="1"/>
  <c r="O51" i="1"/>
  <c r="J52" i="1"/>
  <c r="N52" i="1"/>
  <c r="O52" i="1"/>
  <c r="J53" i="1"/>
  <c r="O53" i="1"/>
  <c r="J54" i="1"/>
  <c r="N54" i="1"/>
  <c r="O54" i="1"/>
  <c r="J55" i="1"/>
  <c r="N55" i="1"/>
  <c r="O55" i="1"/>
  <c r="J56" i="1"/>
  <c r="N56" i="1"/>
  <c r="O56" i="1"/>
  <c r="J57" i="1"/>
  <c r="N57" i="1"/>
  <c r="O57" i="1"/>
  <c r="J58" i="1"/>
  <c r="N58" i="1"/>
  <c r="O58" i="1"/>
  <c r="J59" i="1"/>
  <c r="N59" i="1"/>
  <c r="O59" i="1"/>
  <c r="J60" i="1"/>
  <c r="N60" i="1"/>
  <c r="O60" i="1"/>
  <c r="J61" i="1"/>
  <c r="O61" i="1"/>
  <c r="J62" i="1"/>
  <c r="N62" i="1"/>
  <c r="O62" i="1"/>
  <c r="J63" i="1"/>
  <c r="N63" i="1"/>
  <c r="O63" i="1"/>
  <c r="J64" i="1"/>
  <c r="O64" i="1"/>
  <c r="J65" i="1"/>
  <c r="N65" i="1"/>
  <c r="O65" i="1"/>
  <c r="J66" i="1"/>
  <c r="O66" i="1"/>
  <c r="J67" i="1"/>
  <c r="N67" i="1"/>
  <c r="O67" i="1"/>
  <c r="J68" i="1"/>
  <c r="N68" i="1"/>
  <c r="O68" i="1"/>
  <c r="J69" i="1"/>
  <c r="O69" i="1"/>
  <c r="J70" i="1"/>
  <c r="N70" i="1"/>
  <c r="O70" i="1"/>
  <c r="J71" i="1"/>
  <c r="N71" i="1"/>
  <c r="O71" i="1"/>
  <c r="J72" i="1"/>
  <c r="O72" i="1"/>
  <c r="J73" i="1"/>
  <c r="N73" i="1"/>
  <c r="O73" i="1"/>
  <c r="J74" i="1"/>
  <c r="N74" i="1"/>
  <c r="O74" i="1"/>
  <c r="J75" i="1"/>
  <c r="O75" i="1"/>
  <c r="J76" i="1"/>
  <c r="O76" i="1"/>
  <c r="J77" i="1"/>
  <c r="O77" i="1"/>
  <c r="J78" i="1"/>
  <c r="N78" i="1"/>
  <c r="O78" i="1"/>
  <c r="J79" i="1"/>
  <c r="N79" i="1"/>
  <c r="O79" i="1"/>
  <c r="J80" i="1"/>
  <c r="N80" i="1"/>
  <c r="O80" i="1"/>
  <c r="J81" i="1"/>
  <c r="O81" i="1"/>
  <c r="J82" i="1"/>
  <c r="N82" i="1"/>
  <c r="O82" i="1"/>
  <c r="J83" i="1"/>
  <c r="N83" i="1"/>
  <c r="O83" i="1"/>
  <c r="J84" i="1"/>
  <c r="N84" i="1"/>
  <c r="O84" i="1"/>
  <c r="J85" i="1"/>
  <c r="N85" i="1"/>
  <c r="O85" i="1"/>
  <c r="J86" i="1"/>
  <c r="N86" i="1"/>
  <c r="O86" i="1"/>
  <c r="J87" i="1"/>
  <c r="O87" i="1"/>
  <c r="J88" i="1"/>
  <c r="N88" i="1"/>
  <c r="O88" i="1"/>
  <c r="J89" i="1"/>
  <c r="N89" i="1"/>
  <c r="O89" i="1"/>
  <c r="J90" i="1"/>
  <c r="N90" i="1"/>
  <c r="O90" i="1"/>
  <c r="J91" i="1"/>
  <c r="N91" i="1"/>
  <c r="O91" i="1"/>
  <c r="J92" i="1"/>
  <c r="N92" i="1"/>
  <c r="O92" i="1"/>
  <c r="J93" i="1"/>
  <c r="N93" i="1"/>
  <c r="O93" i="1"/>
  <c r="J94" i="1"/>
  <c r="O94" i="1"/>
  <c r="J95" i="1"/>
  <c r="N95" i="1"/>
  <c r="O95" i="1"/>
  <c r="J96" i="1"/>
  <c r="N96" i="1"/>
  <c r="O96" i="1"/>
  <c r="J97" i="1"/>
  <c r="N97" i="1"/>
  <c r="O97" i="1"/>
  <c r="J98" i="1"/>
  <c r="O98" i="1"/>
  <c r="J99" i="1"/>
  <c r="N99" i="1"/>
  <c r="O99" i="1"/>
  <c r="J100" i="1"/>
  <c r="N100" i="1"/>
  <c r="O100" i="1"/>
  <c r="J101" i="1"/>
  <c r="O101" i="1"/>
  <c r="J102" i="1"/>
  <c r="N102" i="1"/>
  <c r="O102" i="1"/>
  <c r="J103" i="1"/>
  <c r="N103" i="1"/>
  <c r="O103" i="1"/>
  <c r="J104" i="1"/>
  <c r="N104" i="1"/>
  <c r="O104" i="1"/>
  <c r="J105" i="1"/>
  <c r="N105" i="1"/>
  <c r="O105" i="1"/>
  <c r="J106" i="1"/>
  <c r="N106" i="1"/>
  <c r="O106" i="1"/>
  <c r="J107" i="1"/>
  <c r="N107" i="1"/>
  <c r="O107" i="1"/>
  <c r="J108" i="1"/>
  <c r="N108" i="1"/>
  <c r="O108" i="1"/>
  <c r="J109" i="1"/>
  <c r="N109" i="1"/>
  <c r="O109" i="1"/>
  <c r="J110" i="1"/>
  <c r="N110" i="1"/>
  <c r="O110" i="1"/>
  <c r="J111" i="1"/>
  <c r="O111" i="1"/>
  <c r="J112" i="1"/>
  <c r="N112" i="1"/>
  <c r="O112" i="1"/>
  <c r="J113" i="1"/>
  <c r="N113" i="1"/>
  <c r="O113" i="1"/>
  <c r="J114" i="1"/>
  <c r="N114" i="1"/>
  <c r="O114" i="1"/>
  <c r="J115" i="1"/>
  <c r="N115" i="1"/>
  <c r="O115" i="1"/>
  <c r="J116" i="1"/>
  <c r="O116" i="1"/>
  <c r="J117" i="1"/>
  <c r="N117" i="1"/>
  <c r="O117" i="1"/>
  <c r="J118" i="1"/>
  <c r="N118" i="1"/>
  <c r="O118" i="1"/>
  <c r="J119" i="1"/>
  <c r="N119" i="1"/>
  <c r="O119" i="1"/>
  <c r="J120" i="1"/>
  <c r="N120" i="1"/>
  <c r="O120" i="1"/>
  <c r="J121" i="1"/>
  <c r="N121" i="1"/>
  <c r="O121" i="1"/>
  <c r="J122" i="1"/>
  <c r="O122" i="1"/>
  <c r="J123" i="1"/>
  <c r="N123" i="1"/>
  <c r="O123" i="1"/>
  <c r="J124" i="1"/>
  <c r="O124" i="1"/>
  <c r="J125" i="1"/>
  <c r="O125" i="1"/>
  <c r="J126" i="1"/>
  <c r="N126" i="1"/>
  <c r="O126" i="1"/>
  <c r="J127" i="1"/>
  <c r="N127" i="1"/>
  <c r="O127" i="1"/>
  <c r="J128" i="1"/>
  <c r="O128" i="1"/>
  <c r="J129" i="1"/>
  <c r="N129" i="1"/>
  <c r="O129" i="1"/>
  <c r="J130" i="1"/>
  <c r="N130" i="1"/>
  <c r="O130" i="1"/>
  <c r="J131" i="1"/>
  <c r="N131" i="1"/>
  <c r="O131" i="1"/>
  <c r="J132" i="1"/>
  <c r="N132" i="1"/>
  <c r="O132" i="1"/>
  <c r="J133" i="1"/>
  <c r="N133" i="1"/>
  <c r="O133" i="1"/>
  <c r="J134" i="1"/>
  <c r="N134" i="1"/>
  <c r="O134" i="1"/>
  <c r="J135" i="1"/>
  <c r="N135" i="1"/>
  <c r="O135" i="1"/>
  <c r="J136" i="1"/>
  <c r="N136" i="1"/>
  <c r="O136" i="1"/>
  <c r="J137" i="1"/>
  <c r="N137" i="1"/>
  <c r="O137" i="1"/>
  <c r="J138" i="1"/>
  <c r="N138" i="1"/>
  <c r="O138" i="1"/>
  <c r="J139" i="1"/>
  <c r="N139" i="1"/>
  <c r="O139" i="1"/>
  <c r="J140" i="1"/>
  <c r="N140" i="1"/>
  <c r="O140" i="1"/>
  <c r="J141" i="1"/>
  <c r="N141" i="1"/>
  <c r="O141" i="1"/>
  <c r="J142" i="1"/>
  <c r="O142" i="1"/>
  <c r="J143" i="1"/>
  <c r="O143" i="1"/>
  <c r="J144" i="1"/>
  <c r="O144" i="1"/>
  <c r="J145" i="1"/>
  <c r="O145" i="1"/>
  <c r="J146" i="1"/>
  <c r="O146" i="1"/>
  <c r="J147" i="1"/>
  <c r="O147" i="1"/>
  <c r="J148" i="1"/>
  <c r="O148" i="1"/>
  <c r="J149" i="1"/>
  <c r="O149" i="1"/>
  <c r="J150" i="1"/>
  <c r="N150" i="1"/>
  <c r="O150" i="1"/>
  <c r="J151" i="1"/>
  <c r="O151" i="1"/>
  <c r="J152" i="1"/>
  <c r="O152" i="1"/>
  <c r="J153" i="1"/>
  <c r="O153" i="1"/>
  <c r="J154" i="1"/>
  <c r="O154" i="1"/>
  <c r="J155" i="1"/>
  <c r="O155" i="1"/>
  <c r="J156" i="1"/>
  <c r="O156" i="1"/>
  <c r="J157" i="1"/>
  <c r="O157" i="1"/>
  <c r="J158" i="1"/>
  <c r="O158" i="1"/>
  <c r="J159" i="1"/>
  <c r="O159" i="1"/>
  <c r="J160" i="1"/>
  <c r="O160" i="1"/>
  <c r="J161" i="1"/>
  <c r="O161" i="1"/>
  <c r="J162" i="1"/>
  <c r="O162" i="1"/>
  <c r="J163" i="1"/>
  <c r="O163" i="1"/>
  <c r="J164" i="1"/>
  <c r="O164" i="1"/>
  <c r="J165" i="1"/>
  <c r="O165" i="1"/>
  <c r="J166" i="1"/>
  <c r="O166" i="1"/>
  <c r="J167" i="1"/>
  <c r="O167" i="1"/>
  <c r="J168" i="1"/>
  <c r="O168" i="1"/>
  <c r="J169" i="1"/>
  <c r="O169" i="1"/>
  <c r="N170" i="1"/>
  <c r="O170" i="1"/>
  <c r="J201" i="1"/>
  <c r="N201" i="1"/>
  <c r="O201" i="1"/>
  <c r="J202" i="1"/>
  <c r="N202" i="1"/>
  <c r="O202" i="1"/>
  <c r="N171" i="1"/>
  <c r="O171" i="1"/>
  <c r="N172" i="1"/>
  <c r="O172" i="1"/>
  <c r="J173" i="1"/>
  <c r="N173" i="1"/>
  <c r="O173" i="1"/>
  <c r="J174" i="1"/>
  <c r="N174" i="1"/>
  <c r="O174" i="1"/>
  <c r="J175" i="1"/>
  <c r="N175" i="1"/>
  <c r="O175" i="1"/>
  <c r="J176" i="1"/>
  <c r="N176" i="1"/>
  <c r="O176" i="1"/>
  <c r="J177" i="1"/>
  <c r="N177" i="1"/>
  <c r="O177" i="1"/>
  <c r="J178" i="1"/>
  <c r="N178" i="1"/>
  <c r="O178" i="1"/>
  <c r="J179" i="1"/>
  <c r="N179" i="1"/>
  <c r="O179" i="1"/>
  <c r="J180" i="1"/>
  <c r="N180" i="1"/>
  <c r="O180" i="1"/>
  <c r="J181" i="1"/>
  <c r="N181" i="1"/>
  <c r="O181" i="1"/>
  <c r="J182" i="1"/>
  <c r="N182" i="1"/>
  <c r="O182" i="1"/>
  <c r="J183" i="1"/>
  <c r="N183" i="1"/>
  <c r="O183" i="1"/>
  <c r="J184" i="1"/>
  <c r="N184" i="1"/>
  <c r="O184" i="1"/>
  <c r="J185" i="1"/>
  <c r="N185" i="1"/>
  <c r="O185" i="1"/>
  <c r="J186" i="1"/>
  <c r="N186" i="1"/>
  <c r="O186" i="1"/>
  <c r="J187" i="1"/>
  <c r="N187" i="1"/>
  <c r="O187" i="1"/>
  <c r="J188" i="1"/>
  <c r="N188" i="1"/>
  <c r="O188" i="1"/>
  <c r="J189" i="1"/>
  <c r="N189" i="1"/>
  <c r="O189" i="1"/>
  <c r="J190" i="1"/>
  <c r="N190" i="1"/>
  <c r="O190" i="1"/>
  <c r="J191" i="1"/>
  <c r="N191" i="1"/>
  <c r="O191" i="1"/>
  <c r="J192" i="1"/>
  <c r="N192" i="1"/>
  <c r="O192" i="1"/>
  <c r="J193" i="1"/>
  <c r="N193" i="1"/>
  <c r="O193" i="1"/>
  <c r="J194" i="1"/>
  <c r="N194" i="1"/>
  <c r="O194" i="1"/>
  <c r="J195" i="1"/>
  <c r="N195" i="1"/>
  <c r="O195" i="1"/>
  <c r="J196" i="1"/>
  <c r="N196" i="1"/>
  <c r="O196" i="1"/>
  <c r="J197" i="1"/>
  <c r="N197" i="1"/>
  <c r="O197" i="1"/>
  <c r="G7" i="6"/>
  <c r="D20" i="1"/>
  <c r="H20" i="1"/>
  <c r="M20" i="1"/>
  <c r="Q20" i="1"/>
  <c r="R20" i="1"/>
  <c r="S20" i="1"/>
  <c r="CI20" i="1"/>
  <c r="CJ20" i="1"/>
  <c r="CL20" i="1"/>
  <c r="CI3" i="1"/>
  <c r="CJ3" i="1"/>
  <c r="CL3" i="1"/>
  <c r="CI4" i="1"/>
  <c r="CJ4" i="1"/>
  <c r="CL4" i="1"/>
  <c r="CI5" i="1"/>
  <c r="CJ5" i="1"/>
  <c r="CL5" i="1"/>
  <c r="CI6" i="1"/>
  <c r="CJ6" i="1"/>
  <c r="CL6" i="1"/>
  <c r="CI7" i="1"/>
  <c r="CJ7" i="1"/>
  <c r="CL7" i="1"/>
  <c r="CI8" i="1"/>
  <c r="CJ8" i="1"/>
  <c r="CL8" i="1"/>
  <c r="CI9" i="1"/>
  <c r="CJ9" i="1"/>
  <c r="CL9" i="1"/>
  <c r="CI10" i="1"/>
  <c r="CJ10" i="1"/>
  <c r="CL10" i="1"/>
  <c r="CI11" i="1"/>
  <c r="CJ11" i="1"/>
  <c r="CL11" i="1"/>
  <c r="CI12" i="1"/>
  <c r="CJ12" i="1"/>
  <c r="CL12" i="1"/>
  <c r="CI13" i="1"/>
  <c r="CJ13" i="1"/>
  <c r="CL13" i="1"/>
  <c r="CI14" i="1"/>
  <c r="CJ14" i="1"/>
  <c r="CL14" i="1"/>
  <c r="CI15" i="1"/>
  <c r="CJ15" i="1"/>
  <c r="CL15" i="1"/>
  <c r="CI16" i="1"/>
  <c r="CJ16" i="1"/>
  <c r="CL16" i="1"/>
  <c r="CI17" i="1"/>
  <c r="CJ17" i="1"/>
  <c r="CL17" i="1"/>
  <c r="CI18" i="1"/>
  <c r="CJ18" i="1"/>
  <c r="CL18" i="1"/>
  <c r="CI19" i="1"/>
  <c r="CJ19" i="1"/>
  <c r="CL19" i="1"/>
  <c r="CI21" i="1"/>
  <c r="CJ21" i="1"/>
  <c r="CL21" i="1"/>
  <c r="CI22" i="1"/>
  <c r="CJ22" i="1"/>
  <c r="CK22" i="1"/>
  <c r="CL22" i="1"/>
  <c r="CI23" i="1"/>
  <c r="CJ23" i="1"/>
  <c r="CK23" i="1"/>
  <c r="CL23" i="1"/>
  <c r="CI24" i="1"/>
  <c r="CJ24" i="1"/>
  <c r="CK24" i="1"/>
  <c r="CL24" i="1"/>
  <c r="CI25" i="1"/>
  <c r="CJ25" i="1"/>
  <c r="CK25" i="1"/>
  <c r="CL25" i="1"/>
  <c r="CI26" i="1"/>
  <c r="CJ26" i="1"/>
  <c r="CK26" i="1"/>
  <c r="CL26" i="1"/>
  <c r="CI27" i="1"/>
  <c r="CJ27" i="1"/>
  <c r="CK27" i="1"/>
  <c r="CL27" i="1"/>
  <c r="CI28" i="1"/>
  <c r="CJ28" i="1"/>
  <c r="CK28" i="1"/>
  <c r="CL28" i="1"/>
  <c r="CI29" i="1"/>
  <c r="CJ29" i="1"/>
  <c r="CK29" i="1"/>
  <c r="CL29" i="1"/>
  <c r="CI30" i="1"/>
  <c r="CJ30" i="1"/>
  <c r="CK30" i="1"/>
  <c r="CL30" i="1"/>
  <c r="CI31" i="1"/>
  <c r="CJ31" i="1"/>
  <c r="CK31" i="1"/>
  <c r="CL31" i="1"/>
  <c r="J198" i="1"/>
  <c r="CI32" i="1"/>
  <c r="CJ32" i="1"/>
  <c r="CK32" i="1"/>
  <c r="CL32" i="1"/>
  <c r="J199" i="1"/>
  <c r="CI33" i="1"/>
  <c r="CJ33" i="1"/>
  <c r="CK33" i="1"/>
  <c r="CL33" i="1"/>
  <c r="J200" i="1"/>
  <c r="CI34" i="1"/>
  <c r="CJ34" i="1"/>
  <c r="CK34" i="1"/>
  <c r="CL34" i="1"/>
  <c r="CI35" i="1"/>
  <c r="CJ35" i="1"/>
  <c r="CK35" i="1"/>
  <c r="CL35" i="1"/>
  <c r="CI36" i="1"/>
  <c r="CJ36" i="1"/>
  <c r="CK36" i="1"/>
  <c r="CL36" i="1"/>
  <c r="CI37" i="1"/>
  <c r="CJ37" i="1"/>
  <c r="CK37" i="1"/>
  <c r="CL37" i="1"/>
  <c r="CI38" i="1"/>
  <c r="CJ38" i="1"/>
  <c r="CK38" i="1"/>
  <c r="CL38" i="1"/>
  <c r="CI39" i="1"/>
  <c r="CJ39" i="1"/>
  <c r="CK39" i="1"/>
  <c r="CL39" i="1"/>
  <c r="CI40" i="1"/>
  <c r="CJ40" i="1"/>
  <c r="CK40" i="1"/>
  <c r="CL40" i="1"/>
  <c r="CI41" i="1"/>
  <c r="CJ41" i="1"/>
  <c r="CK41" i="1"/>
  <c r="CL41" i="1"/>
  <c r="CI42" i="1"/>
  <c r="CJ42" i="1"/>
  <c r="CK42" i="1"/>
  <c r="CL42" i="1"/>
  <c r="CI43" i="1"/>
  <c r="CJ43" i="1"/>
  <c r="CK43" i="1"/>
  <c r="CL43" i="1"/>
  <c r="CI44" i="1"/>
  <c r="CJ44" i="1"/>
  <c r="CK44" i="1"/>
  <c r="CL44" i="1"/>
  <c r="CI45" i="1"/>
  <c r="CJ45" i="1"/>
  <c r="CK45" i="1"/>
  <c r="CL45" i="1"/>
  <c r="CI46" i="1"/>
  <c r="CJ46" i="1"/>
  <c r="CK46" i="1"/>
  <c r="CL46" i="1"/>
  <c r="CI47" i="1"/>
  <c r="CJ47" i="1"/>
  <c r="CK47" i="1"/>
  <c r="CL47" i="1"/>
  <c r="CI48" i="1"/>
  <c r="CJ48" i="1"/>
  <c r="CK48" i="1"/>
  <c r="CL48" i="1"/>
  <c r="CI49" i="1"/>
  <c r="CJ49" i="1"/>
  <c r="CK49" i="1"/>
  <c r="CL49" i="1"/>
  <c r="CI50" i="1"/>
  <c r="CJ50" i="1"/>
  <c r="CK50" i="1"/>
  <c r="CL50" i="1"/>
  <c r="CI51" i="1"/>
  <c r="CJ51" i="1"/>
  <c r="CK51" i="1"/>
  <c r="CL51" i="1"/>
  <c r="CI52" i="1"/>
  <c r="CJ52" i="1"/>
  <c r="CK52" i="1"/>
  <c r="CL52" i="1"/>
  <c r="CI53" i="1"/>
  <c r="CJ53" i="1"/>
  <c r="CK53" i="1"/>
  <c r="CL53" i="1"/>
  <c r="CI54" i="1"/>
  <c r="CJ54" i="1"/>
  <c r="CK54" i="1"/>
  <c r="CL54" i="1"/>
  <c r="CI55" i="1"/>
  <c r="CJ55" i="1"/>
  <c r="CK55" i="1"/>
  <c r="CL55" i="1"/>
  <c r="CI56" i="1"/>
  <c r="CJ56" i="1"/>
  <c r="CK56" i="1"/>
  <c r="CL56" i="1"/>
  <c r="CI57" i="1"/>
  <c r="CJ57" i="1"/>
  <c r="CK57" i="1"/>
  <c r="CL57" i="1"/>
  <c r="CI58" i="1"/>
  <c r="CJ58" i="1"/>
  <c r="CK58" i="1"/>
  <c r="CL58" i="1"/>
  <c r="CI59" i="1"/>
  <c r="CJ59" i="1"/>
  <c r="CK59" i="1"/>
  <c r="CL59" i="1"/>
  <c r="CI60" i="1"/>
  <c r="CJ60" i="1"/>
  <c r="CK60" i="1"/>
  <c r="CL60" i="1"/>
  <c r="CI61" i="1"/>
  <c r="CJ61" i="1"/>
  <c r="CK61" i="1"/>
  <c r="CL61" i="1"/>
  <c r="CI62" i="1"/>
  <c r="CJ62" i="1"/>
  <c r="CK62" i="1"/>
  <c r="CL62" i="1"/>
  <c r="CI63" i="1"/>
  <c r="CJ63" i="1"/>
  <c r="CK63" i="1"/>
  <c r="CL63" i="1"/>
  <c r="CI64" i="1"/>
  <c r="CJ64" i="1"/>
  <c r="CK64" i="1"/>
  <c r="CL64" i="1"/>
  <c r="CI65" i="1"/>
  <c r="CJ65" i="1"/>
  <c r="CK65" i="1"/>
  <c r="CL65" i="1"/>
  <c r="CI66" i="1"/>
  <c r="CJ66" i="1"/>
  <c r="CK66" i="1"/>
  <c r="CL66" i="1"/>
  <c r="CI67" i="1"/>
  <c r="CJ67" i="1"/>
  <c r="CK67" i="1"/>
  <c r="CL67" i="1"/>
  <c r="CI68" i="1"/>
  <c r="CJ68" i="1"/>
  <c r="CK68" i="1"/>
  <c r="CL68" i="1"/>
  <c r="CK69" i="1"/>
  <c r="CK70" i="1"/>
  <c r="CK71" i="1"/>
  <c r="CI72" i="1"/>
  <c r="CJ72" i="1"/>
  <c r="CK72" i="1"/>
  <c r="CL72" i="1"/>
  <c r="CI73" i="1"/>
  <c r="CJ73" i="1"/>
  <c r="CK73" i="1"/>
  <c r="CL73" i="1"/>
  <c r="CI74" i="1"/>
  <c r="CJ74" i="1"/>
  <c r="CK74" i="1"/>
  <c r="CL74" i="1"/>
  <c r="CI75" i="1"/>
  <c r="CJ75" i="1"/>
  <c r="CK75" i="1"/>
  <c r="CL75" i="1"/>
  <c r="CI76" i="1"/>
  <c r="CJ76" i="1"/>
  <c r="CK76" i="1"/>
  <c r="CL76" i="1"/>
  <c r="CI77" i="1"/>
  <c r="CJ77" i="1"/>
  <c r="CK77" i="1"/>
  <c r="CL77" i="1"/>
  <c r="CI78" i="1"/>
  <c r="CJ78" i="1"/>
  <c r="CK78" i="1"/>
  <c r="CL78" i="1"/>
  <c r="CI79" i="1"/>
  <c r="CJ79" i="1"/>
  <c r="CK79" i="1"/>
  <c r="CL79" i="1"/>
  <c r="CI80" i="1"/>
  <c r="CJ80" i="1"/>
  <c r="CK80" i="1"/>
  <c r="CL80" i="1"/>
  <c r="CI81" i="1"/>
  <c r="CJ81" i="1"/>
  <c r="CK81" i="1"/>
  <c r="CL81" i="1"/>
  <c r="CI82" i="1"/>
  <c r="CJ82" i="1"/>
  <c r="CK82" i="1"/>
  <c r="CL82" i="1"/>
  <c r="CI83" i="1"/>
  <c r="CJ83" i="1"/>
  <c r="CK83" i="1"/>
  <c r="CL83" i="1"/>
  <c r="CI84" i="1"/>
  <c r="CJ84" i="1"/>
  <c r="CK84" i="1"/>
  <c r="CL84" i="1"/>
  <c r="CI85" i="1"/>
  <c r="CJ85" i="1"/>
  <c r="CK85" i="1"/>
  <c r="CL85" i="1"/>
  <c r="CI86" i="1"/>
  <c r="CJ86" i="1"/>
  <c r="CK86" i="1"/>
  <c r="CL86" i="1"/>
  <c r="CI87" i="1"/>
  <c r="CJ87" i="1"/>
  <c r="CK87" i="1"/>
  <c r="CL87" i="1"/>
  <c r="CI88" i="1"/>
  <c r="CJ88" i="1"/>
  <c r="CK88" i="1"/>
  <c r="CL88" i="1"/>
  <c r="CI89" i="1"/>
  <c r="CJ89" i="1"/>
  <c r="CK89" i="1"/>
  <c r="CL89" i="1"/>
  <c r="CI90" i="1"/>
  <c r="CJ90" i="1"/>
  <c r="CK90" i="1"/>
  <c r="CL90" i="1"/>
  <c r="CI91" i="1"/>
  <c r="CJ91" i="1"/>
  <c r="CK91" i="1"/>
  <c r="CL91" i="1"/>
  <c r="CI92" i="1"/>
  <c r="CJ92" i="1"/>
  <c r="CK92" i="1"/>
  <c r="CL92" i="1"/>
  <c r="CI93" i="1"/>
  <c r="CJ93" i="1"/>
  <c r="CK93" i="1"/>
  <c r="CL93" i="1"/>
  <c r="CI94" i="1"/>
  <c r="CJ94" i="1"/>
  <c r="CK94" i="1"/>
  <c r="CL94" i="1"/>
  <c r="CI95" i="1"/>
  <c r="CJ95" i="1"/>
  <c r="CK95" i="1"/>
  <c r="CL95" i="1"/>
  <c r="CI96" i="1"/>
  <c r="CJ96" i="1"/>
  <c r="CK96" i="1"/>
  <c r="CL96" i="1"/>
  <c r="CI97" i="1"/>
  <c r="CJ97" i="1"/>
  <c r="CK97" i="1"/>
  <c r="CL97" i="1"/>
  <c r="CI98" i="1"/>
  <c r="CJ98" i="1"/>
  <c r="CK98" i="1"/>
  <c r="CL98" i="1"/>
  <c r="CI99" i="1"/>
  <c r="CJ99" i="1"/>
  <c r="CK99" i="1"/>
  <c r="CL99" i="1"/>
  <c r="CI100" i="1"/>
  <c r="CJ100" i="1"/>
  <c r="CK100" i="1"/>
  <c r="CL100" i="1"/>
  <c r="CI101" i="1"/>
  <c r="CJ101" i="1"/>
  <c r="CK101" i="1"/>
  <c r="CL101" i="1"/>
  <c r="CI102" i="1"/>
  <c r="CJ102" i="1"/>
  <c r="CK102" i="1"/>
  <c r="CL102" i="1"/>
  <c r="CI103" i="1"/>
  <c r="CJ103" i="1"/>
  <c r="CK103" i="1"/>
  <c r="CL103" i="1"/>
  <c r="CI104" i="1"/>
  <c r="CJ104" i="1"/>
  <c r="CK104" i="1"/>
  <c r="CL104" i="1"/>
  <c r="CI105" i="1"/>
  <c r="CJ105" i="1"/>
  <c r="CK105" i="1"/>
  <c r="CL105" i="1"/>
  <c r="CI106" i="1"/>
  <c r="CJ106" i="1"/>
  <c r="CK106" i="1"/>
  <c r="CL106" i="1"/>
  <c r="CI107" i="1"/>
  <c r="CJ107" i="1"/>
  <c r="CK107" i="1"/>
  <c r="CL107" i="1"/>
  <c r="CI108" i="1"/>
  <c r="CJ108" i="1"/>
  <c r="CK108" i="1"/>
  <c r="CL108" i="1"/>
  <c r="CI109" i="1"/>
  <c r="CJ109" i="1"/>
  <c r="CK109" i="1"/>
  <c r="CL109" i="1"/>
  <c r="CI110" i="1"/>
  <c r="CJ110" i="1"/>
  <c r="CK110" i="1"/>
  <c r="CL110" i="1"/>
  <c r="CI111" i="1"/>
  <c r="CJ111" i="1"/>
  <c r="CK111" i="1"/>
  <c r="CL111" i="1"/>
  <c r="CI112" i="1"/>
  <c r="CJ112" i="1"/>
  <c r="CK112" i="1"/>
  <c r="CL112" i="1"/>
  <c r="CI113" i="1"/>
  <c r="CJ113" i="1"/>
  <c r="CK113" i="1"/>
  <c r="CL113" i="1"/>
  <c r="CI114" i="1"/>
  <c r="CJ114" i="1"/>
  <c r="CK114" i="1"/>
  <c r="CL114" i="1"/>
  <c r="CI115" i="1"/>
  <c r="CJ115" i="1"/>
  <c r="CK115" i="1"/>
  <c r="CL115" i="1"/>
  <c r="CI116" i="1"/>
  <c r="CJ116" i="1"/>
  <c r="CK116" i="1"/>
  <c r="CL116" i="1"/>
  <c r="CI117" i="1"/>
  <c r="CJ117" i="1"/>
  <c r="CK117" i="1"/>
  <c r="CL117" i="1"/>
  <c r="CI118" i="1"/>
  <c r="CJ118" i="1"/>
  <c r="CK118" i="1"/>
  <c r="CL118" i="1"/>
  <c r="CI119" i="1"/>
  <c r="CJ119" i="1"/>
  <c r="CK119" i="1"/>
  <c r="CL119" i="1"/>
  <c r="CI120" i="1"/>
  <c r="CJ120" i="1"/>
  <c r="CK120" i="1"/>
  <c r="CL120" i="1"/>
  <c r="CI121" i="1"/>
  <c r="CJ121" i="1"/>
  <c r="CK121" i="1"/>
  <c r="CL121" i="1"/>
  <c r="CI122" i="1"/>
  <c r="CJ122" i="1"/>
  <c r="CK122" i="1"/>
  <c r="CL122" i="1"/>
  <c r="CI123" i="1"/>
  <c r="CJ123" i="1"/>
  <c r="CK123" i="1"/>
  <c r="CL123" i="1"/>
  <c r="CI124" i="1"/>
  <c r="CJ124" i="1"/>
  <c r="CK124" i="1"/>
  <c r="CL124" i="1"/>
  <c r="CI125" i="1"/>
  <c r="CJ125" i="1"/>
  <c r="CK125" i="1"/>
  <c r="CL125" i="1"/>
  <c r="CI126" i="1"/>
  <c r="CJ126" i="1"/>
  <c r="CK126" i="1"/>
  <c r="CL126" i="1"/>
  <c r="CI127" i="1"/>
  <c r="CJ127" i="1"/>
  <c r="CK127" i="1"/>
  <c r="CL127" i="1"/>
  <c r="CI128" i="1"/>
  <c r="CJ128" i="1"/>
  <c r="CK128" i="1"/>
  <c r="CL128" i="1"/>
  <c r="CI129" i="1"/>
  <c r="CJ129" i="1"/>
  <c r="CK129" i="1"/>
  <c r="CL129" i="1"/>
  <c r="CI130" i="1"/>
  <c r="CJ130" i="1"/>
  <c r="CK130" i="1"/>
  <c r="CL130" i="1"/>
  <c r="CI131" i="1"/>
  <c r="CJ131" i="1"/>
  <c r="CK131" i="1"/>
  <c r="CL131" i="1"/>
  <c r="CI132" i="1"/>
  <c r="CJ132" i="1"/>
  <c r="CK132" i="1"/>
  <c r="CL132" i="1"/>
  <c r="CI133" i="1"/>
  <c r="CJ133" i="1"/>
  <c r="CK133" i="1"/>
  <c r="CL133" i="1"/>
  <c r="CI134" i="1"/>
  <c r="CJ134" i="1"/>
  <c r="CK134" i="1"/>
  <c r="CL134" i="1"/>
  <c r="CI135" i="1"/>
  <c r="CJ135" i="1"/>
  <c r="CK135" i="1"/>
  <c r="CL135" i="1"/>
  <c r="CI136" i="1"/>
  <c r="CJ136" i="1"/>
  <c r="CK136" i="1"/>
  <c r="CL136" i="1"/>
  <c r="CI137" i="1"/>
  <c r="CJ137" i="1"/>
  <c r="CK137" i="1"/>
  <c r="CL137" i="1"/>
  <c r="CI138" i="1"/>
  <c r="CJ138" i="1"/>
  <c r="CK138" i="1"/>
  <c r="CL138" i="1"/>
  <c r="CI139" i="1"/>
  <c r="CJ139" i="1"/>
  <c r="CK139" i="1"/>
  <c r="CL139" i="1"/>
  <c r="CI140" i="1"/>
  <c r="CJ140" i="1"/>
  <c r="CK140" i="1"/>
  <c r="CL140" i="1"/>
  <c r="CI141" i="1"/>
  <c r="CJ141" i="1"/>
  <c r="CK141" i="1"/>
  <c r="CL141" i="1"/>
  <c r="CI142" i="1"/>
  <c r="CJ142" i="1"/>
  <c r="CK142" i="1"/>
  <c r="CL142" i="1"/>
  <c r="CI143" i="1"/>
  <c r="CJ143" i="1"/>
  <c r="CK143" i="1"/>
  <c r="CL143" i="1"/>
  <c r="CI144" i="1"/>
  <c r="CJ144" i="1"/>
  <c r="CK144" i="1"/>
  <c r="CL144" i="1"/>
  <c r="CI145" i="1"/>
  <c r="CJ145" i="1"/>
  <c r="CK145" i="1"/>
  <c r="CL145" i="1"/>
  <c r="CI146" i="1"/>
  <c r="CJ146" i="1"/>
  <c r="CK146" i="1"/>
  <c r="CL146" i="1"/>
  <c r="CI147" i="1"/>
  <c r="CJ147" i="1"/>
  <c r="CK147" i="1"/>
  <c r="CL147" i="1"/>
  <c r="CI148" i="1"/>
  <c r="CJ148" i="1"/>
  <c r="CK148" i="1"/>
  <c r="CL148" i="1"/>
  <c r="CI149" i="1"/>
  <c r="CJ149" i="1"/>
  <c r="CK149" i="1"/>
  <c r="CL149" i="1"/>
  <c r="CI150" i="1"/>
  <c r="CJ150" i="1"/>
  <c r="CK150" i="1"/>
  <c r="CL150" i="1"/>
  <c r="CI151" i="1"/>
  <c r="CJ151" i="1"/>
  <c r="CK151" i="1"/>
  <c r="CL151" i="1"/>
  <c r="CI152" i="1"/>
  <c r="CJ152" i="1"/>
  <c r="CK152" i="1"/>
  <c r="CL152" i="1"/>
  <c r="CI153" i="1"/>
  <c r="CJ153" i="1"/>
  <c r="CK153" i="1"/>
  <c r="CL153" i="1"/>
  <c r="CI154" i="1"/>
  <c r="CJ154" i="1"/>
  <c r="CK154" i="1"/>
  <c r="CL154" i="1"/>
  <c r="CI155" i="1"/>
  <c r="CJ155" i="1"/>
  <c r="CK155" i="1"/>
  <c r="CL155" i="1"/>
  <c r="CI156" i="1"/>
  <c r="CJ156" i="1"/>
  <c r="CK156" i="1"/>
  <c r="CL156" i="1"/>
  <c r="CI157" i="1"/>
  <c r="CJ157" i="1"/>
  <c r="CK157" i="1"/>
  <c r="CL157" i="1"/>
  <c r="CI158" i="1"/>
  <c r="CJ158" i="1"/>
  <c r="CK158" i="1"/>
  <c r="CL158" i="1"/>
  <c r="CI159" i="1"/>
  <c r="CJ159" i="1"/>
  <c r="CK159" i="1"/>
  <c r="CL159" i="1"/>
  <c r="CI160" i="1"/>
  <c r="CJ160" i="1"/>
  <c r="CK160" i="1"/>
  <c r="CL160" i="1"/>
  <c r="CI161" i="1"/>
  <c r="CJ161" i="1"/>
  <c r="CK161" i="1"/>
  <c r="CL161" i="1"/>
  <c r="CI162" i="1"/>
  <c r="CJ162" i="1"/>
  <c r="CK162" i="1"/>
  <c r="CL162" i="1"/>
  <c r="CI163" i="1"/>
  <c r="CJ163" i="1"/>
  <c r="CK163" i="1"/>
  <c r="CL163" i="1"/>
  <c r="CI164" i="1"/>
  <c r="CJ164" i="1"/>
  <c r="CK164" i="1"/>
  <c r="CL164" i="1"/>
  <c r="CI165" i="1"/>
  <c r="CJ165" i="1"/>
  <c r="CK165" i="1"/>
  <c r="CL165" i="1"/>
  <c r="CI166" i="1"/>
  <c r="CJ166" i="1"/>
  <c r="CK166" i="1"/>
  <c r="CL166" i="1"/>
  <c r="CI167" i="1"/>
  <c r="CJ167" i="1"/>
  <c r="CK167" i="1"/>
  <c r="CL167" i="1"/>
  <c r="CI168" i="1"/>
  <c r="CJ168" i="1"/>
  <c r="CK168" i="1"/>
  <c r="CL168" i="1"/>
  <c r="CI169" i="1"/>
  <c r="CJ169" i="1"/>
  <c r="CK169" i="1"/>
  <c r="CL169" i="1"/>
  <c r="CI170" i="1"/>
  <c r="CJ170" i="1"/>
  <c r="CK170" i="1"/>
  <c r="CL170" i="1"/>
  <c r="CI171" i="1"/>
  <c r="CJ171" i="1"/>
  <c r="CK171" i="1"/>
  <c r="CL171" i="1"/>
  <c r="CI172" i="1"/>
  <c r="CJ172" i="1"/>
  <c r="CK172" i="1"/>
  <c r="CL172" i="1"/>
  <c r="CI173" i="1"/>
  <c r="CJ173" i="1"/>
  <c r="CK173" i="1"/>
  <c r="CL173" i="1"/>
  <c r="CI174" i="1"/>
  <c r="CJ174" i="1"/>
  <c r="CK174" i="1"/>
  <c r="CL174" i="1"/>
  <c r="CI175" i="1"/>
  <c r="CJ175" i="1"/>
  <c r="CK175" i="1"/>
  <c r="CL175" i="1"/>
  <c r="CI176" i="1"/>
  <c r="CJ176" i="1"/>
  <c r="CK176" i="1"/>
  <c r="CL176" i="1"/>
  <c r="CI177" i="1"/>
  <c r="CJ177" i="1"/>
  <c r="CK177" i="1"/>
  <c r="CL177" i="1"/>
  <c r="CI178" i="1"/>
  <c r="CJ178" i="1"/>
  <c r="CK178" i="1"/>
  <c r="CL178" i="1"/>
  <c r="CI179" i="1"/>
  <c r="CJ179" i="1"/>
  <c r="CK179" i="1"/>
  <c r="CL179" i="1"/>
  <c r="CI180" i="1"/>
  <c r="CJ180" i="1"/>
  <c r="CK180" i="1"/>
  <c r="CL180" i="1"/>
  <c r="CI181" i="1"/>
  <c r="CJ181" i="1"/>
  <c r="CK181" i="1"/>
  <c r="CL181" i="1"/>
  <c r="CI182" i="1"/>
  <c r="CJ182" i="1"/>
  <c r="CK182" i="1"/>
  <c r="CL182" i="1"/>
  <c r="CI183" i="1"/>
  <c r="CJ183" i="1"/>
  <c r="CK183" i="1"/>
  <c r="CL183" i="1"/>
  <c r="CI184" i="1"/>
  <c r="CJ184" i="1"/>
  <c r="CK184" i="1"/>
  <c r="CL184" i="1"/>
  <c r="CI185" i="1"/>
  <c r="CJ185" i="1"/>
  <c r="CK185" i="1"/>
  <c r="CL185" i="1"/>
  <c r="CI186" i="1"/>
  <c r="CJ186" i="1"/>
  <c r="CK186" i="1"/>
  <c r="CL186" i="1"/>
  <c r="CI187" i="1"/>
  <c r="CJ187" i="1"/>
  <c r="CK187" i="1"/>
  <c r="CL187" i="1"/>
  <c r="CI188" i="1"/>
  <c r="CJ188" i="1"/>
  <c r="CK188" i="1"/>
  <c r="CL188" i="1"/>
  <c r="CI189" i="1"/>
  <c r="CJ189" i="1"/>
  <c r="CK189" i="1"/>
  <c r="CL189" i="1"/>
  <c r="CI190" i="1"/>
  <c r="CJ190" i="1"/>
  <c r="CK190" i="1"/>
  <c r="CL190" i="1"/>
  <c r="CI191" i="1"/>
  <c r="CJ191" i="1"/>
  <c r="CK191" i="1"/>
  <c r="CL191" i="1"/>
  <c r="CI192" i="1"/>
  <c r="CJ192" i="1"/>
  <c r="CK192" i="1"/>
  <c r="CL192" i="1"/>
  <c r="CI193" i="1"/>
  <c r="CJ193" i="1"/>
  <c r="CK193" i="1"/>
  <c r="CL193" i="1"/>
  <c r="CI194" i="1"/>
  <c r="CJ194" i="1"/>
  <c r="CK194" i="1"/>
  <c r="CL194" i="1"/>
  <c r="CI195" i="1"/>
  <c r="CJ195" i="1"/>
  <c r="CK195" i="1"/>
  <c r="CL195" i="1"/>
  <c r="CI196" i="1"/>
  <c r="CJ196" i="1"/>
  <c r="CK196" i="1"/>
  <c r="CL196" i="1"/>
  <c r="CI197" i="1"/>
  <c r="CJ197" i="1"/>
  <c r="CK197" i="1"/>
  <c r="CL197" i="1"/>
  <c r="CI198" i="1"/>
  <c r="CJ198" i="1"/>
  <c r="CK198" i="1"/>
  <c r="CL198" i="1"/>
  <c r="CI199" i="1"/>
  <c r="CJ199" i="1"/>
  <c r="CK199" i="1"/>
  <c r="CL199" i="1"/>
  <c r="CI200" i="1"/>
  <c r="CJ200" i="1"/>
  <c r="CK200" i="1"/>
  <c r="CL200" i="1"/>
  <c r="CI201" i="1"/>
  <c r="CJ201" i="1"/>
  <c r="CK201" i="1"/>
  <c r="CL201" i="1"/>
  <c r="N24" i="1"/>
  <c r="N98" i="1"/>
  <c r="N101" i="1"/>
  <c r="N162" i="1"/>
  <c r="N163" i="1"/>
  <c r="N164" i="1"/>
  <c r="N165" i="1"/>
  <c r="N166" i="1"/>
  <c r="N167" i="1"/>
  <c r="N168" i="1"/>
  <c r="N169" i="1"/>
  <c r="N198" i="1"/>
  <c r="O198" i="1"/>
  <c r="N199" i="1"/>
  <c r="O199" i="1"/>
  <c r="N200" i="1"/>
  <c r="O200" i="1"/>
  <c r="H5" i="1"/>
  <c r="Q150" i="1"/>
  <c r="R150" i="1"/>
  <c r="S150" i="1"/>
  <c r="N81" i="1"/>
  <c r="N40" i="1"/>
  <c r="N10" i="1"/>
  <c r="N161" i="1"/>
  <c r="Q68" i="1"/>
  <c r="R68" i="1"/>
  <c r="Q40" i="1"/>
  <c r="R40" i="1"/>
  <c r="Q125" i="1"/>
  <c r="Q128" i="1"/>
  <c r="R128" i="1"/>
  <c r="H113" i="1"/>
  <c r="H87" i="1"/>
  <c r="H66" i="1"/>
  <c r="H40" i="1"/>
  <c r="H53" i="1"/>
  <c r="H69" i="1"/>
  <c r="H21" i="1"/>
  <c r="H84" i="1"/>
  <c r="H57" i="1"/>
  <c r="H86" i="1"/>
  <c r="H63" i="1"/>
  <c r="H74" i="1"/>
  <c r="H65" i="1"/>
  <c r="H122" i="1"/>
  <c r="H123" i="1"/>
  <c r="H124" i="1"/>
  <c r="H125" i="1"/>
  <c r="H126" i="1"/>
  <c r="H27" i="1"/>
  <c r="H38" i="1"/>
  <c r="H121" i="1"/>
  <c r="H56" i="1"/>
  <c r="H120" i="1"/>
  <c r="H117" i="1"/>
  <c r="H118" i="1"/>
  <c r="H119" i="1"/>
  <c r="H78" i="1"/>
  <c r="H115" i="1"/>
  <c r="H70" i="1"/>
  <c r="H68" i="1"/>
  <c r="H59" i="1"/>
  <c r="H127" i="1"/>
  <c r="H112" i="1"/>
  <c r="H24" i="1"/>
  <c r="H109" i="1"/>
  <c r="H116" i="1"/>
  <c r="H114" i="1"/>
  <c r="H83" i="1"/>
  <c r="H106" i="1"/>
  <c r="H107" i="1"/>
  <c r="H108" i="1"/>
  <c r="H135" i="1"/>
  <c r="H202" i="1"/>
  <c r="H105" i="1"/>
  <c r="H104" i="1"/>
  <c r="H110" i="1"/>
  <c r="H79" i="1"/>
  <c r="H32" i="1"/>
  <c r="H81" i="1"/>
  <c r="H111" i="1"/>
  <c r="H103" i="1"/>
  <c r="H82" i="1"/>
  <c r="H102" i="1"/>
  <c r="H89" i="1"/>
  <c r="H99" i="1"/>
  <c r="H101" i="1"/>
  <c r="H54" i="1"/>
  <c r="H45" i="1"/>
  <c r="H100" i="1"/>
  <c r="H201" i="1"/>
  <c r="H60" i="1"/>
  <c r="H14" i="1"/>
  <c r="H47" i="1"/>
  <c r="H97" i="1"/>
  <c r="H98" i="1"/>
  <c r="H42" i="1"/>
  <c r="H94" i="1"/>
  <c r="H95" i="1"/>
  <c r="H96" i="1"/>
  <c r="H93" i="1"/>
  <c r="H41" i="1"/>
  <c r="H92" i="1"/>
  <c r="H91" i="1"/>
  <c r="H3" i="1"/>
  <c r="H90" i="1"/>
  <c r="H88" i="1"/>
  <c r="H67" i="1"/>
  <c r="H64" i="1"/>
  <c r="H46" i="1"/>
  <c r="H51" i="1"/>
  <c r="H16" i="1"/>
  <c r="H31" i="1"/>
  <c r="H43" i="1"/>
  <c r="H13" i="1"/>
  <c r="H85" i="1"/>
  <c r="H77" i="1"/>
  <c r="H75" i="1"/>
  <c r="H76" i="1"/>
  <c r="H73" i="1"/>
  <c r="H33" i="1"/>
  <c r="H55" i="1"/>
  <c r="H49" i="1"/>
  <c r="H58" i="1"/>
  <c r="H80" i="1"/>
  <c r="H37" i="1"/>
  <c r="H71" i="1"/>
  <c r="H30" i="1"/>
  <c r="H39" i="1"/>
  <c r="H52" i="1"/>
  <c r="H48" i="1"/>
  <c r="H10" i="1"/>
  <c r="H62" i="1"/>
  <c r="H50" i="1"/>
  <c r="H61" i="1"/>
  <c r="H35" i="1"/>
  <c r="H34" i="1"/>
  <c r="H44" i="1"/>
  <c r="H29" i="1"/>
  <c r="H19" i="1"/>
  <c r="H11" i="1"/>
  <c r="H7" i="1"/>
  <c r="H130" i="1"/>
  <c r="H128" i="1"/>
  <c r="H131" i="1"/>
  <c r="H134" i="1"/>
  <c r="H129" i="1"/>
  <c r="H132" i="1"/>
  <c r="H133" i="1"/>
  <c r="H136" i="1"/>
  <c r="H137" i="1"/>
  <c r="H36" i="1"/>
  <c r="H138" i="1"/>
  <c r="H139" i="1"/>
  <c r="H141" i="1"/>
  <c r="H140" i="1"/>
  <c r="H143" i="1"/>
  <c r="H142" i="1"/>
  <c r="H156" i="1"/>
  <c r="H144" i="1"/>
  <c r="H145" i="1"/>
  <c r="H146" i="1"/>
  <c r="H155" i="1"/>
  <c r="H148" i="1"/>
  <c r="H147" i="1"/>
  <c r="H149" i="1"/>
  <c r="H151" i="1"/>
  <c r="H152" i="1"/>
  <c r="H153" i="1"/>
  <c r="H154" i="1"/>
  <c r="H157" i="1"/>
  <c r="H158" i="1"/>
  <c r="H72" i="1"/>
  <c r="H159" i="1"/>
  <c r="H160" i="1"/>
  <c r="H161" i="1"/>
  <c r="H4" i="1"/>
  <c r="H6" i="1"/>
  <c r="H162" i="1"/>
  <c r="H8" i="1"/>
  <c r="H9" i="1"/>
  <c r="H12" i="1"/>
  <c r="H15" i="1"/>
  <c r="H17" i="1"/>
  <c r="H18" i="1"/>
  <c r="H22" i="1"/>
  <c r="H23" i="1"/>
  <c r="H25" i="1"/>
  <c r="H26" i="1"/>
  <c r="H28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N61" i="1"/>
  <c r="N48" i="1"/>
  <c r="N116" i="1"/>
  <c r="N111" i="1"/>
  <c r="N3" i="1"/>
  <c r="N64" i="1"/>
  <c r="N46" i="1"/>
  <c r="N16" i="1"/>
  <c r="N77" i="1"/>
  <c r="N75" i="1"/>
  <c r="N76" i="1"/>
  <c r="N33" i="1"/>
  <c r="N128" i="1"/>
  <c r="N143" i="1"/>
  <c r="N142" i="1"/>
  <c r="N156" i="1"/>
  <c r="N144" i="1"/>
  <c r="N145" i="1"/>
  <c r="N146" i="1"/>
  <c r="N155" i="1"/>
  <c r="N148" i="1"/>
  <c r="N147" i="1"/>
  <c r="N149" i="1"/>
  <c r="N151" i="1"/>
  <c r="N152" i="1"/>
  <c r="N153" i="1"/>
  <c r="N154" i="1"/>
  <c r="N157" i="1"/>
  <c r="N158" i="1"/>
  <c r="N72" i="1"/>
  <c r="N159" i="1"/>
  <c r="N160" i="1"/>
  <c r="Q124" i="1"/>
  <c r="S124" i="1"/>
  <c r="Q113" i="1"/>
  <c r="S113" i="1"/>
  <c r="Q87" i="1"/>
  <c r="S87" i="1"/>
  <c r="Q66" i="1"/>
  <c r="S66" i="1"/>
  <c r="S40" i="1"/>
  <c r="Q53" i="1"/>
  <c r="S53" i="1"/>
  <c r="Q69" i="1"/>
  <c r="S69" i="1"/>
  <c r="Q21" i="1"/>
  <c r="S21" i="1"/>
  <c r="Q84" i="1"/>
  <c r="S84" i="1"/>
  <c r="Q57" i="1"/>
  <c r="S57" i="1"/>
  <c r="Q86" i="1"/>
  <c r="S86" i="1"/>
  <c r="Q63" i="1"/>
  <c r="S63" i="1"/>
  <c r="Q74" i="1"/>
  <c r="S74" i="1"/>
  <c r="Q27" i="1"/>
  <c r="S27" i="1"/>
  <c r="Q38" i="1"/>
  <c r="S38" i="1"/>
  <c r="Q121" i="1"/>
  <c r="S121" i="1"/>
  <c r="Q56" i="1"/>
  <c r="S56" i="1"/>
  <c r="Q120" i="1"/>
  <c r="S120" i="1"/>
  <c r="Q117" i="1"/>
  <c r="S117" i="1"/>
  <c r="Q118" i="1"/>
  <c r="S118" i="1"/>
  <c r="Q119" i="1"/>
  <c r="S119" i="1"/>
  <c r="Q78" i="1"/>
  <c r="S78" i="1"/>
  <c r="Q115" i="1"/>
  <c r="S115" i="1"/>
  <c r="Q70" i="1"/>
  <c r="S70" i="1"/>
  <c r="S68" i="1"/>
  <c r="Q59" i="1"/>
  <c r="S59" i="1"/>
  <c r="Q127" i="1"/>
  <c r="S127" i="1"/>
  <c r="Q112" i="1"/>
  <c r="S112" i="1"/>
  <c r="Q24" i="1"/>
  <c r="S24" i="1"/>
  <c r="Q109" i="1"/>
  <c r="S109" i="1"/>
  <c r="Q116" i="1"/>
  <c r="S116" i="1"/>
  <c r="Q114" i="1"/>
  <c r="S114" i="1"/>
  <c r="Q83" i="1"/>
  <c r="S83" i="1"/>
  <c r="Q106" i="1"/>
  <c r="S106" i="1"/>
  <c r="Q107" i="1"/>
  <c r="S107" i="1"/>
  <c r="Q108" i="1"/>
  <c r="S108" i="1"/>
  <c r="Q135" i="1"/>
  <c r="S135" i="1"/>
  <c r="Q202" i="1"/>
  <c r="S202" i="1"/>
  <c r="Q105" i="1"/>
  <c r="S105" i="1"/>
  <c r="Q104" i="1"/>
  <c r="S104" i="1"/>
  <c r="Q110" i="1"/>
  <c r="S110" i="1"/>
  <c r="Q79" i="1"/>
  <c r="S79" i="1"/>
  <c r="Q32" i="1"/>
  <c r="S32" i="1"/>
  <c r="Q81" i="1"/>
  <c r="S81" i="1"/>
  <c r="Q111" i="1"/>
  <c r="S111" i="1"/>
  <c r="Q103" i="1"/>
  <c r="S103" i="1"/>
  <c r="Q82" i="1"/>
  <c r="S82" i="1"/>
  <c r="Q102" i="1"/>
  <c r="S102" i="1"/>
  <c r="Q99" i="1"/>
  <c r="S99" i="1"/>
  <c r="Q101" i="1"/>
  <c r="S101" i="1"/>
  <c r="Q54" i="1"/>
  <c r="S54" i="1"/>
  <c r="Q45" i="1"/>
  <c r="S45" i="1"/>
  <c r="Q100" i="1"/>
  <c r="S100" i="1"/>
  <c r="Q201" i="1"/>
  <c r="S201" i="1"/>
  <c r="Q60" i="1"/>
  <c r="S60" i="1"/>
  <c r="Q14" i="1"/>
  <c r="S14" i="1"/>
  <c r="Q47" i="1"/>
  <c r="S47" i="1"/>
  <c r="Q97" i="1"/>
  <c r="S97" i="1"/>
  <c r="Q98" i="1"/>
  <c r="S98" i="1"/>
  <c r="Q42" i="1"/>
  <c r="S42" i="1"/>
  <c r="Q94" i="1"/>
  <c r="S94" i="1"/>
  <c r="Q95" i="1"/>
  <c r="S95" i="1"/>
  <c r="Q96" i="1"/>
  <c r="S96" i="1"/>
  <c r="Q93" i="1"/>
  <c r="S93" i="1"/>
  <c r="Q41" i="1"/>
  <c r="S41" i="1"/>
  <c r="Q92" i="1"/>
  <c r="S92" i="1"/>
  <c r="Q91" i="1"/>
  <c r="S91" i="1"/>
  <c r="Q3" i="1"/>
  <c r="S3" i="1"/>
  <c r="Q90" i="1"/>
  <c r="S90" i="1"/>
  <c r="Q89" i="1"/>
  <c r="S89" i="1"/>
  <c r="Q88" i="1"/>
  <c r="S88" i="1"/>
  <c r="Q67" i="1"/>
  <c r="S67" i="1"/>
  <c r="Q64" i="1"/>
  <c r="S64" i="1"/>
  <c r="Q46" i="1"/>
  <c r="S46" i="1"/>
  <c r="Q51" i="1"/>
  <c r="S51" i="1"/>
  <c r="Q16" i="1"/>
  <c r="S16" i="1"/>
  <c r="Q31" i="1"/>
  <c r="S31" i="1"/>
  <c r="Q43" i="1"/>
  <c r="S43" i="1"/>
  <c r="Q13" i="1"/>
  <c r="S13" i="1"/>
  <c r="Q65" i="1"/>
  <c r="S65" i="1"/>
  <c r="Q85" i="1"/>
  <c r="S85" i="1"/>
  <c r="Q77" i="1"/>
  <c r="S77" i="1"/>
  <c r="Q75" i="1"/>
  <c r="S75" i="1"/>
  <c r="Q76" i="1"/>
  <c r="S76" i="1"/>
  <c r="Q73" i="1"/>
  <c r="S73" i="1"/>
  <c r="Q33" i="1"/>
  <c r="S33" i="1"/>
  <c r="Q55" i="1"/>
  <c r="S55" i="1"/>
  <c r="Q49" i="1"/>
  <c r="S49" i="1"/>
  <c r="Q58" i="1"/>
  <c r="S58" i="1"/>
  <c r="Q80" i="1"/>
  <c r="S80" i="1"/>
  <c r="Q37" i="1"/>
  <c r="S37" i="1"/>
  <c r="Q71" i="1"/>
  <c r="S71" i="1"/>
  <c r="Q30" i="1"/>
  <c r="S30" i="1"/>
  <c r="Q39" i="1"/>
  <c r="S39" i="1"/>
  <c r="Q52" i="1"/>
  <c r="S52" i="1"/>
  <c r="Q48" i="1"/>
  <c r="S48" i="1"/>
  <c r="Q10" i="1"/>
  <c r="S10" i="1"/>
  <c r="Q62" i="1"/>
  <c r="S62" i="1"/>
  <c r="Q50" i="1"/>
  <c r="S50" i="1"/>
  <c r="Q61" i="1"/>
  <c r="S61" i="1"/>
  <c r="Q35" i="1"/>
  <c r="S35" i="1"/>
  <c r="Q34" i="1"/>
  <c r="S34" i="1"/>
  <c r="Q44" i="1"/>
  <c r="S44" i="1"/>
  <c r="Q29" i="1"/>
  <c r="S29" i="1"/>
  <c r="Q19" i="1"/>
  <c r="S19" i="1"/>
  <c r="Q11" i="1"/>
  <c r="S11" i="1"/>
  <c r="Q7" i="1"/>
  <c r="S7" i="1"/>
  <c r="Q122" i="1"/>
  <c r="S122" i="1"/>
  <c r="Q123" i="1"/>
  <c r="S123" i="1"/>
  <c r="S125" i="1"/>
  <c r="Q126" i="1"/>
  <c r="S126" i="1"/>
  <c r="Q130" i="1"/>
  <c r="S130" i="1"/>
  <c r="S128" i="1"/>
  <c r="Q131" i="1"/>
  <c r="S131" i="1"/>
  <c r="Q134" i="1"/>
  <c r="S134" i="1"/>
  <c r="Q129" i="1"/>
  <c r="S129" i="1"/>
  <c r="Q132" i="1"/>
  <c r="S132" i="1"/>
  <c r="Q133" i="1"/>
  <c r="S133" i="1"/>
  <c r="Q136" i="1"/>
  <c r="S136" i="1"/>
  <c r="Q137" i="1"/>
  <c r="S137" i="1"/>
  <c r="Q36" i="1"/>
  <c r="S36" i="1"/>
  <c r="Q138" i="1"/>
  <c r="S138" i="1"/>
  <c r="Q139" i="1"/>
  <c r="S139" i="1"/>
  <c r="Q141" i="1"/>
  <c r="S141" i="1"/>
  <c r="Q140" i="1"/>
  <c r="S140" i="1"/>
  <c r="Q143" i="1"/>
  <c r="S143" i="1"/>
  <c r="Q142" i="1"/>
  <c r="S142" i="1"/>
  <c r="Q156" i="1"/>
  <c r="S156" i="1"/>
  <c r="Q144" i="1"/>
  <c r="S144" i="1"/>
  <c r="Q145" i="1"/>
  <c r="S145" i="1"/>
  <c r="Q146" i="1"/>
  <c r="S146" i="1"/>
  <c r="Q155" i="1"/>
  <c r="S155" i="1"/>
  <c r="Q148" i="1"/>
  <c r="S148" i="1"/>
  <c r="Q147" i="1"/>
  <c r="S147" i="1"/>
  <c r="Q149" i="1"/>
  <c r="S149" i="1"/>
  <c r="Q151" i="1"/>
  <c r="S151" i="1"/>
  <c r="Q152" i="1"/>
  <c r="S152" i="1"/>
  <c r="Q153" i="1"/>
  <c r="S153" i="1"/>
  <c r="Q154" i="1"/>
  <c r="S154" i="1"/>
  <c r="Q157" i="1"/>
  <c r="S157" i="1"/>
  <c r="Q158" i="1"/>
  <c r="S158" i="1"/>
  <c r="Q72" i="1"/>
  <c r="S72" i="1"/>
  <c r="Q159" i="1"/>
  <c r="S159" i="1"/>
  <c r="Q160" i="1"/>
  <c r="S160" i="1"/>
  <c r="Q161" i="1"/>
  <c r="S161" i="1"/>
  <c r="Q5" i="1"/>
  <c r="S5" i="1"/>
  <c r="Q4" i="1"/>
  <c r="S4" i="1"/>
  <c r="Q6" i="1"/>
  <c r="S6" i="1"/>
  <c r="Q162" i="1"/>
  <c r="S162" i="1"/>
  <c r="Q8" i="1"/>
  <c r="S8" i="1"/>
  <c r="Q9" i="1"/>
  <c r="S9" i="1"/>
  <c r="Q12" i="1"/>
  <c r="S12" i="1"/>
  <c r="Q15" i="1"/>
  <c r="S15" i="1"/>
  <c r="Q17" i="1"/>
  <c r="S17" i="1"/>
  <c r="Q18" i="1"/>
  <c r="S18" i="1"/>
  <c r="Q22" i="1"/>
  <c r="S22" i="1"/>
  <c r="Q23" i="1"/>
  <c r="S23" i="1"/>
  <c r="Q25" i="1"/>
  <c r="S25" i="1"/>
  <c r="Q26" i="1"/>
  <c r="S26" i="1"/>
  <c r="Q28" i="1"/>
  <c r="S28" i="1"/>
  <c r="Q163" i="1"/>
  <c r="S163" i="1"/>
  <c r="Q164" i="1"/>
  <c r="S164" i="1"/>
  <c r="Q165" i="1"/>
  <c r="S165" i="1"/>
  <c r="Q166" i="1"/>
  <c r="S166" i="1"/>
  <c r="Q167" i="1"/>
  <c r="S167" i="1"/>
  <c r="Q168" i="1"/>
  <c r="S168" i="1"/>
  <c r="Q169" i="1"/>
  <c r="S169" i="1"/>
  <c r="Q170" i="1"/>
  <c r="S170" i="1"/>
  <c r="Q171" i="1"/>
  <c r="S171" i="1"/>
  <c r="Q172" i="1"/>
  <c r="S172" i="1"/>
  <c r="Q173" i="1"/>
  <c r="S173" i="1"/>
  <c r="Q174" i="1"/>
  <c r="S174" i="1"/>
  <c r="Q175" i="1"/>
  <c r="S175" i="1"/>
  <c r="Q176" i="1"/>
  <c r="S176" i="1"/>
  <c r="Q177" i="1"/>
  <c r="S177" i="1"/>
  <c r="Q178" i="1"/>
  <c r="S178" i="1"/>
  <c r="Q179" i="1"/>
  <c r="S179" i="1"/>
  <c r="Q180" i="1"/>
  <c r="S180" i="1"/>
  <c r="Q181" i="1"/>
  <c r="S181" i="1"/>
  <c r="Q182" i="1"/>
  <c r="S182" i="1"/>
  <c r="Q183" i="1"/>
  <c r="S183" i="1"/>
  <c r="Q184" i="1"/>
  <c r="S184" i="1"/>
  <c r="Q185" i="1"/>
  <c r="S185" i="1"/>
  <c r="Q186" i="1"/>
  <c r="S186" i="1"/>
  <c r="Q187" i="1"/>
  <c r="S187" i="1"/>
  <c r="Q188" i="1"/>
  <c r="S188" i="1"/>
  <c r="Q189" i="1"/>
  <c r="S189" i="1"/>
  <c r="Q190" i="1"/>
  <c r="S190" i="1"/>
  <c r="Q191" i="1"/>
  <c r="S191" i="1"/>
  <c r="Q192" i="1"/>
  <c r="S192" i="1"/>
  <c r="Q193" i="1"/>
  <c r="S193" i="1"/>
  <c r="Q194" i="1"/>
  <c r="S194" i="1"/>
  <c r="Q195" i="1"/>
  <c r="S195" i="1"/>
  <c r="Q196" i="1"/>
  <c r="S196" i="1"/>
  <c r="Q197" i="1"/>
  <c r="S197" i="1"/>
  <c r="Q198" i="1"/>
  <c r="S198" i="1"/>
  <c r="Q199" i="1"/>
  <c r="S199" i="1"/>
  <c r="Q200" i="1"/>
  <c r="S200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28" i="1"/>
  <c r="D26" i="1"/>
  <c r="D25" i="1"/>
  <c r="D23" i="1"/>
  <c r="D22" i="1"/>
  <c r="D18" i="1"/>
  <c r="D17" i="1"/>
  <c r="D15" i="1"/>
  <c r="D12" i="1"/>
  <c r="D9" i="1"/>
  <c r="D8" i="1"/>
  <c r="D162" i="1"/>
  <c r="D6" i="1"/>
  <c r="D4" i="1"/>
  <c r="D5" i="1"/>
  <c r="D161" i="1"/>
  <c r="D160" i="1"/>
  <c r="D159" i="1"/>
  <c r="D72" i="1"/>
  <c r="D158" i="1"/>
  <c r="D157" i="1"/>
  <c r="D154" i="1"/>
  <c r="D153" i="1"/>
  <c r="D152" i="1"/>
  <c r="D151" i="1"/>
  <c r="D149" i="1"/>
  <c r="D147" i="1"/>
  <c r="D148" i="1"/>
  <c r="D155" i="1"/>
  <c r="D146" i="1"/>
  <c r="D145" i="1"/>
  <c r="D144" i="1"/>
  <c r="D156" i="1"/>
  <c r="D142" i="1"/>
  <c r="D143" i="1"/>
  <c r="D140" i="1"/>
  <c r="D141" i="1"/>
  <c r="D139" i="1"/>
  <c r="D138" i="1"/>
  <c r="D36" i="1"/>
  <c r="D137" i="1"/>
  <c r="D136" i="1"/>
  <c r="D133" i="1"/>
  <c r="D132" i="1"/>
  <c r="D129" i="1"/>
  <c r="D134" i="1"/>
  <c r="D131" i="1"/>
  <c r="D128" i="1"/>
  <c r="D130" i="1"/>
  <c r="D126" i="1"/>
  <c r="D125" i="1"/>
  <c r="D124" i="1"/>
  <c r="D123" i="1"/>
  <c r="D122" i="1"/>
  <c r="D7" i="1"/>
  <c r="D11" i="1"/>
  <c r="D19" i="1"/>
  <c r="D29" i="1"/>
  <c r="D44" i="1"/>
  <c r="D34" i="1"/>
  <c r="D35" i="1"/>
  <c r="D61" i="1"/>
  <c r="D50" i="1"/>
  <c r="D62" i="1"/>
  <c r="D10" i="1"/>
  <c r="D48" i="1"/>
  <c r="D52" i="1"/>
  <c r="D39" i="1"/>
  <c r="D30" i="1"/>
  <c r="D71" i="1"/>
  <c r="D37" i="1"/>
  <c r="D80" i="1"/>
  <c r="D58" i="1"/>
  <c r="D49" i="1"/>
  <c r="D55" i="1"/>
  <c r="D33" i="1"/>
  <c r="D73" i="1"/>
  <c r="D76" i="1"/>
  <c r="D75" i="1"/>
  <c r="D77" i="1"/>
  <c r="D85" i="1"/>
  <c r="D65" i="1"/>
  <c r="D13" i="1"/>
  <c r="D43" i="1"/>
  <c r="D31" i="1"/>
  <c r="D16" i="1"/>
  <c r="D51" i="1"/>
  <c r="D46" i="1"/>
  <c r="D64" i="1"/>
  <c r="D67" i="1"/>
  <c r="D88" i="1"/>
  <c r="D89" i="1"/>
  <c r="D90" i="1"/>
  <c r="D3" i="1"/>
  <c r="D91" i="1"/>
  <c r="D92" i="1"/>
  <c r="D41" i="1"/>
  <c r="D93" i="1"/>
  <c r="D96" i="1"/>
  <c r="D95" i="1"/>
  <c r="D94" i="1"/>
  <c r="D42" i="1"/>
  <c r="D98" i="1"/>
  <c r="D97" i="1"/>
  <c r="D47" i="1"/>
  <c r="D14" i="1"/>
  <c r="D60" i="1"/>
  <c r="D201" i="1"/>
  <c r="D100" i="1"/>
  <c r="D45" i="1"/>
  <c r="D54" i="1"/>
  <c r="D101" i="1"/>
  <c r="D99" i="1"/>
  <c r="D102" i="1"/>
  <c r="D82" i="1"/>
  <c r="D103" i="1"/>
  <c r="D111" i="1"/>
  <c r="D81" i="1"/>
  <c r="D32" i="1"/>
  <c r="D79" i="1"/>
  <c r="D110" i="1"/>
  <c r="D104" i="1"/>
  <c r="D105" i="1"/>
  <c r="D202" i="1"/>
  <c r="D135" i="1"/>
  <c r="D108" i="1"/>
  <c r="D107" i="1"/>
  <c r="D106" i="1"/>
  <c r="D83" i="1"/>
  <c r="D114" i="1"/>
  <c r="D116" i="1"/>
  <c r="D109" i="1"/>
  <c r="D24" i="1"/>
  <c r="D112" i="1"/>
  <c r="D127" i="1"/>
  <c r="D59" i="1"/>
  <c r="D68" i="1"/>
  <c r="D70" i="1"/>
  <c r="D115" i="1"/>
  <c r="D78" i="1"/>
  <c r="D119" i="1"/>
  <c r="D118" i="1"/>
  <c r="D117" i="1"/>
  <c r="D120" i="1"/>
  <c r="D56" i="1"/>
  <c r="D121" i="1"/>
  <c r="D38" i="1"/>
  <c r="D27" i="1"/>
  <c r="D74" i="1"/>
  <c r="D63" i="1"/>
  <c r="D86" i="1"/>
  <c r="D57" i="1"/>
  <c r="D84" i="1"/>
  <c r="D21" i="1"/>
  <c r="D69" i="1"/>
  <c r="D53" i="1"/>
  <c r="D40" i="1"/>
  <c r="D66" i="1"/>
  <c r="D87" i="1"/>
  <c r="D113" i="1"/>
  <c r="N87" i="1"/>
  <c r="N66" i="1"/>
  <c r="N53" i="1"/>
  <c r="N69" i="1"/>
  <c r="N94" i="1"/>
  <c r="N122" i="1"/>
  <c r="N124" i="1"/>
  <c r="N125" i="1"/>
  <c r="CG4" i="1"/>
  <c r="R70" i="1"/>
  <c r="H200" i="1"/>
  <c r="R100" i="1"/>
  <c r="M43" i="1"/>
  <c r="R43" i="1"/>
  <c r="M60" i="1"/>
  <c r="R60" i="1"/>
  <c r="M14" i="1"/>
  <c r="R14" i="1"/>
  <c r="M100" i="1"/>
  <c r="M99" i="1"/>
  <c r="R99" i="1"/>
  <c r="M97" i="1"/>
  <c r="R97" i="1"/>
  <c r="M42" i="1"/>
  <c r="R42" i="1"/>
  <c r="M95" i="1"/>
  <c r="R95" i="1"/>
  <c r="M94" i="1"/>
  <c r="R94" i="1"/>
  <c r="M96" i="1"/>
  <c r="R96" i="1"/>
  <c r="M93" i="1"/>
  <c r="R93" i="1"/>
  <c r="M59" i="1"/>
  <c r="R59" i="1"/>
  <c r="M41" i="1"/>
  <c r="R41" i="1"/>
  <c r="M91" i="1"/>
  <c r="R91" i="1"/>
  <c r="M92" i="1"/>
  <c r="R92" i="1"/>
  <c r="M40" i="1"/>
  <c r="M89" i="1"/>
  <c r="R89" i="1"/>
  <c r="M90" i="1"/>
  <c r="R90" i="1"/>
  <c r="M103" i="1"/>
  <c r="M88" i="1"/>
  <c r="M64" i="1"/>
  <c r="R64" i="1"/>
  <c r="M46" i="1"/>
  <c r="R46" i="1"/>
  <c r="M27" i="1"/>
  <c r="R27" i="1"/>
  <c r="M51" i="1"/>
  <c r="M16" i="1"/>
  <c r="R16" i="1"/>
  <c r="M67" i="1"/>
  <c r="R67" i="1"/>
  <c r="M31" i="1"/>
  <c r="R31" i="1"/>
  <c r="M68" i="1"/>
  <c r="M53" i="1"/>
  <c r="M69" i="1"/>
  <c r="M86" i="1"/>
  <c r="M21" i="1"/>
  <c r="M57" i="1"/>
  <c r="M84" i="1"/>
  <c r="M63" i="1"/>
  <c r="M74" i="1"/>
  <c r="M70" i="1"/>
  <c r="M32" i="1"/>
  <c r="M81" i="1"/>
  <c r="M102" i="1"/>
  <c r="M101" i="1"/>
  <c r="M54" i="1"/>
  <c r="M45" i="1"/>
  <c r="M201" i="1"/>
  <c r="M13" i="1"/>
  <c r="M65" i="1"/>
  <c r="M85" i="1"/>
  <c r="M83" i="1"/>
  <c r="M78" i="1"/>
  <c r="M77" i="1"/>
  <c r="M75" i="1"/>
  <c r="M76" i="1"/>
  <c r="M73" i="1"/>
  <c r="M33" i="1"/>
  <c r="M79" i="1"/>
  <c r="M55" i="1"/>
  <c r="M49" i="1"/>
  <c r="M82" i="1"/>
  <c r="M58" i="1"/>
  <c r="M80" i="1"/>
  <c r="M37" i="1"/>
  <c r="M71" i="1"/>
  <c r="M38" i="1"/>
  <c r="M3" i="1"/>
  <c r="M30" i="1"/>
  <c r="M39" i="1"/>
  <c r="M52" i="1"/>
  <c r="M56" i="1"/>
  <c r="M47" i="1"/>
  <c r="M48" i="1"/>
  <c r="M10" i="1"/>
  <c r="M24" i="1"/>
  <c r="M62" i="1"/>
  <c r="M50" i="1"/>
  <c r="M61" i="1"/>
  <c r="M35" i="1"/>
  <c r="M34" i="1"/>
  <c r="M44" i="1"/>
  <c r="M29" i="1"/>
  <c r="M19" i="1"/>
  <c r="M11" i="1"/>
  <c r="M7" i="1"/>
  <c r="M98" i="1"/>
  <c r="M105" i="1"/>
  <c r="M104" i="1"/>
  <c r="M106" i="1"/>
  <c r="M108" i="1"/>
  <c r="M107" i="1"/>
  <c r="M135" i="1"/>
  <c r="M109" i="1"/>
  <c r="M116" i="1"/>
  <c r="M127" i="1"/>
  <c r="M112" i="1"/>
  <c r="M202" i="1"/>
  <c r="M110" i="1"/>
  <c r="M111" i="1"/>
  <c r="M113" i="1"/>
  <c r="M115" i="1"/>
  <c r="M117" i="1"/>
  <c r="M118" i="1"/>
  <c r="M119" i="1"/>
  <c r="M120" i="1"/>
  <c r="M114" i="1"/>
  <c r="M121" i="1"/>
  <c r="M122" i="1"/>
  <c r="M123" i="1"/>
  <c r="M124" i="1"/>
  <c r="M125" i="1"/>
  <c r="M126" i="1"/>
  <c r="M130" i="1"/>
  <c r="M128" i="1"/>
  <c r="M131" i="1"/>
  <c r="M134" i="1"/>
  <c r="M129" i="1"/>
  <c r="M132" i="1"/>
  <c r="M133" i="1"/>
  <c r="M136" i="1"/>
  <c r="M137" i="1"/>
  <c r="M36" i="1"/>
  <c r="M138" i="1"/>
  <c r="M139" i="1"/>
  <c r="M141" i="1"/>
  <c r="M140" i="1"/>
  <c r="M143" i="1"/>
  <c r="M142" i="1"/>
  <c r="M156" i="1"/>
  <c r="M144" i="1"/>
  <c r="M145" i="1"/>
  <c r="M146" i="1"/>
  <c r="M155" i="1"/>
  <c r="M148" i="1"/>
  <c r="M147" i="1"/>
  <c r="M149" i="1"/>
  <c r="M150" i="1"/>
  <c r="M151" i="1"/>
  <c r="M152" i="1"/>
  <c r="M153" i="1"/>
  <c r="M154" i="1"/>
  <c r="M157" i="1"/>
  <c r="M158" i="1"/>
  <c r="M72" i="1"/>
  <c r="M159" i="1"/>
  <c r="M160" i="1"/>
  <c r="M161" i="1"/>
  <c r="M5" i="1"/>
  <c r="M4" i="1"/>
  <c r="M6" i="1"/>
  <c r="M162" i="1"/>
  <c r="M8" i="1"/>
  <c r="M9" i="1"/>
  <c r="M12" i="1"/>
  <c r="M15" i="1"/>
  <c r="M17" i="1"/>
  <c r="M18" i="1"/>
  <c r="M22" i="1"/>
  <c r="M23" i="1"/>
  <c r="M25" i="1"/>
  <c r="M26" i="1"/>
  <c r="M28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87" i="1"/>
  <c r="M66" i="1"/>
  <c r="R66" i="1"/>
  <c r="R53" i="1"/>
  <c r="R69" i="1"/>
  <c r="R86" i="1"/>
  <c r="R21" i="1"/>
  <c r="R57" i="1"/>
  <c r="R74" i="1"/>
  <c r="R54" i="1"/>
  <c r="R45" i="1"/>
  <c r="R201" i="1"/>
  <c r="R13" i="1"/>
  <c r="R65" i="1"/>
  <c r="R85" i="1"/>
  <c r="R78" i="1"/>
  <c r="R76" i="1"/>
  <c r="R73" i="1"/>
  <c r="R33" i="1"/>
  <c r="R79" i="1"/>
  <c r="R49" i="1"/>
  <c r="R82" i="1"/>
  <c r="R58" i="1"/>
  <c r="R80" i="1"/>
  <c r="R37" i="1"/>
  <c r="R71" i="1"/>
  <c r="R38" i="1"/>
  <c r="R30" i="1"/>
  <c r="R39" i="1"/>
  <c r="R52" i="1"/>
  <c r="R56" i="1"/>
  <c r="R47" i="1"/>
  <c r="R48" i="1"/>
  <c r="R10" i="1"/>
  <c r="R62" i="1"/>
  <c r="R61" i="1"/>
  <c r="R35" i="1"/>
  <c r="R34" i="1"/>
  <c r="R44" i="1"/>
  <c r="R29" i="1"/>
  <c r="R11" i="1"/>
  <c r="R7" i="1"/>
  <c r="R98" i="1"/>
  <c r="R105" i="1"/>
  <c r="R104" i="1"/>
  <c r="R106" i="1"/>
  <c r="R108" i="1"/>
  <c r="R135" i="1"/>
  <c r="R109" i="1"/>
  <c r="R116" i="1"/>
  <c r="R127" i="1"/>
  <c r="R112" i="1"/>
  <c r="R202" i="1"/>
  <c r="R110" i="1"/>
  <c r="R113" i="1"/>
  <c r="R115" i="1"/>
  <c r="R117" i="1"/>
  <c r="R118" i="1"/>
  <c r="R119" i="1"/>
  <c r="R120" i="1"/>
  <c r="R114" i="1"/>
  <c r="R122" i="1"/>
  <c r="R123" i="1"/>
  <c r="R124" i="1"/>
  <c r="R125" i="1"/>
  <c r="R126" i="1"/>
  <c r="R130" i="1"/>
  <c r="R134" i="1"/>
  <c r="R133" i="1"/>
  <c r="R136" i="1"/>
  <c r="R137" i="1"/>
  <c r="R36" i="1"/>
  <c r="R139" i="1"/>
  <c r="R141" i="1"/>
  <c r="R140" i="1"/>
  <c r="R143" i="1"/>
  <c r="R142" i="1"/>
  <c r="R156" i="1"/>
  <c r="R144" i="1"/>
  <c r="R146" i="1"/>
  <c r="R155" i="1"/>
  <c r="R148" i="1"/>
  <c r="R147" i="1"/>
  <c r="R149" i="1"/>
  <c r="R151" i="1"/>
  <c r="R153" i="1"/>
  <c r="R157" i="1"/>
  <c r="R158" i="1"/>
  <c r="R72" i="1"/>
  <c r="R159" i="1"/>
  <c r="R160" i="1"/>
  <c r="R5" i="1"/>
  <c r="R4" i="1"/>
  <c r="R6" i="1"/>
  <c r="R162" i="1"/>
  <c r="R8" i="1"/>
  <c r="R9" i="1"/>
  <c r="R12" i="1"/>
  <c r="R17" i="1"/>
  <c r="R22" i="1"/>
  <c r="R23" i="1"/>
  <c r="R25" i="1"/>
  <c r="R26" i="1"/>
  <c r="R163" i="1"/>
  <c r="R164" i="1"/>
  <c r="R165" i="1"/>
  <c r="R166" i="1"/>
  <c r="R167" i="1"/>
  <c r="R168" i="1"/>
  <c r="R169" i="1"/>
  <c r="R171" i="1"/>
  <c r="R172" i="1"/>
  <c r="R173" i="1"/>
  <c r="R174" i="1"/>
  <c r="R175" i="1"/>
  <c r="R176" i="1"/>
  <c r="R177" i="1"/>
  <c r="R179" i="1"/>
  <c r="R180" i="1"/>
  <c r="R181" i="1"/>
  <c r="R182" i="1"/>
  <c r="R183" i="1"/>
  <c r="R184" i="1"/>
  <c r="R185" i="1"/>
  <c r="R187" i="1"/>
  <c r="R188" i="1"/>
  <c r="R189" i="1"/>
  <c r="R190" i="1"/>
  <c r="R191" i="1"/>
  <c r="R192" i="1"/>
  <c r="R193" i="1"/>
  <c r="R195" i="1"/>
  <c r="R196" i="1"/>
  <c r="R197" i="1"/>
  <c r="R198" i="1"/>
  <c r="R199" i="1"/>
  <c r="R200" i="1"/>
  <c r="R32" i="1"/>
  <c r="R81" i="1"/>
  <c r="R77" i="1"/>
  <c r="R75" i="1"/>
  <c r="R129" i="1"/>
  <c r="R132" i="1"/>
  <c r="R154" i="1"/>
  <c r="R18" i="1"/>
  <c r="R102" i="1"/>
  <c r="R103" i="1"/>
  <c r="R50" i="1"/>
  <c r="R194" i="1"/>
  <c r="R178" i="1"/>
  <c r="R170" i="1"/>
  <c r="R15" i="1"/>
  <c r="R161" i="1"/>
  <c r="R145" i="1"/>
  <c r="R138" i="1"/>
  <c r="R131" i="1"/>
  <c r="R111" i="1"/>
  <c r="R107" i="1"/>
  <c r="R19" i="1"/>
  <c r="R3" i="1"/>
  <c r="R55" i="1"/>
  <c r="R83" i="1"/>
  <c r="R88" i="1"/>
  <c r="R186" i="1"/>
  <c r="R28" i="1"/>
  <c r="R152" i="1"/>
  <c r="R121" i="1"/>
  <c r="R24" i="1"/>
  <c r="R101" i="1"/>
  <c r="R51" i="1"/>
  <c r="R63" i="1"/>
  <c r="R84" i="1"/>
  <c r="R87" i="1"/>
  <c r="CG5" i="1"/>
  <c r="CG6" i="1"/>
  <c r="CG3" i="1"/>
  <c r="CI71" i="1"/>
  <c r="CJ71" i="1"/>
  <c r="CL71" i="1"/>
  <c r="CI70" i="1"/>
  <c r="CJ70" i="1"/>
  <c r="CL70" i="1"/>
  <c r="CI69" i="1"/>
  <c r="CJ69" i="1"/>
  <c r="CJ2" i="1"/>
  <c r="CL69" i="1"/>
  <c r="CL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tc={4C5D14C1-9DBF-0547-A295-D80F02FE6418}</author>
    <author>tc={1D8648DD-6235-F141-8CEB-FD4761A97800}</author>
    <author>tc={D0846EE7-AEA3-A84F-9673-784580AFA191}</author>
    <author>tc={285F37AB-526A-A74D-A85E-42EC5B93337A}</author>
    <author>tc={7CB5B53D-8B4F-4445-A685-67B8DCB52E0A}</author>
  </authors>
  <commentList>
    <comment ref="B49" authorId="0" shapeId="0" xr:uid="{4C5D14C1-9DBF-0547-A295-D80F02FE641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plans to renew they will contact in case they wanted to renew </t>
      </text>
    </comment>
    <comment ref="B100" authorId="1" shapeId="0" xr:uid="{1D8648DD-6235-F141-8CEB-FD4761A978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Session will shift to her sister </t>
      </text>
    </comment>
    <comment ref="B116" authorId="2" shapeId="0" xr:uid="{D0846EE7-AEA3-A84F-9673-784580AFA19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Freez session from 13 may to 25th may </t>
      </text>
    </comment>
    <comment ref="B126" authorId="3" shapeId="0" xr:uid="{285F37AB-526A-A74D-A85E-42EC5B93337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20th may they will continue remaining session 
</t>
      </text>
    </comment>
    <comment ref="B158" authorId="4" shapeId="0" xr:uid="{7CB5B53D-8B4F-4445-A685-67B8DCB52E0A}">
      <text>
        <t>[Threaded comment]
Your version of Excel allows you to read this threaded comment; however, any edits to it will get removed if the file is opened in a newer version of Excel. Learn more: https://go.microsoft.com/fwlink/?linkid=870924
Comment:
    1 week freez due to neck problem 
Starting from 30 may to 5 june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<sst xmlns="http://schemas.openxmlformats.org/spreadsheetml/2006/main" count="864" uniqueCount="563">
  <si>
    <t>ID No.</t>
  </si>
  <si>
    <t>Student Name</t>
  </si>
  <si>
    <t xml:space="preserve">Date of birth </t>
  </si>
  <si>
    <t xml:space="preserve">Age </t>
  </si>
  <si>
    <t>Parents name</t>
  </si>
  <si>
    <t>Contact Number</t>
  </si>
  <si>
    <t>Admission Date</t>
  </si>
  <si>
    <t xml:space="preserve">Student Tenure </t>
  </si>
  <si>
    <t>Start Date</t>
  </si>
  <si>
    <t>End Date</t>
  </si>
  <si>
    <t xml:space="preserve">Session  </t>
  </si>
  <si>
    <t>Validity Days</t>
  </si>
  <si>
    <t>Expiry Date</t>
  </si>
  <si>
    <t>Days Left</t>
  </si>
  <si>
    <t>Status</t>
  </si>
  <si>
    <t>Fees</t>
  </si>
  <si>
    <t xml:space="preserve">Ses Complete </t>
  </si>
  <si>
    <t xml:space="preserve">Ses Pending </t>
  </si>
  <si>
    <t>Complete/Incomplete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</si>
  <si>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</si>
  <si>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</si>
  <si>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</si>
  <si>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</si>
  <si>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</si>
  <si>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</si>
  <si>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</si>
  <si>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</si>
  <si>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</si>
  <si>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</si>
  <si>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</si>
  <si>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</si>
  <si>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</si>
  <si>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</si>
  <si>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</si>
  <si>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</si>
  <si>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</si>
  <si>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</si>
  <si>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</si>
  <si>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</si>
  <si>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</si>
  <si>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</si>
  <si>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</si>
  <si>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</si>
  <si>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</si>
  <si>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</si>
  <si>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</si>
  <si>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</si>
  <si>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</si>
  <si>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</si>
  <si>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</si>
  <si>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</si>
  <si>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</si>
  <si>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</si>
  <si>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</si>
  <si>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</si>
  <si>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</si>
  <si>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</si>
  <si>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</si>
  <si>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</si>
  <si>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</si>
  <si>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</si>
  <si>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</si>
  <si>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</si>
  <si>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</si>
  <si>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</si>
  <si>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</si>
  <si>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</si>
  <si>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</si>
  <si>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</si>
  <si>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</si>
  <si>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</si>
  <si>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</si>
  <si>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</si>
  <si>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</si>
  <si>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</si>
  <si>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</si>
  <si>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</si>
  <si>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</si>
  <si>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</si>
  <si>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</si>
  <si>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</si>
  <si>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Message box</t>
  </si>
  <si>
    <t>Summary</t>
  </si>
  <si>
    <t xml:space="preserve">PLANS </t>
  </si>
  <si>
    <t>Saisha Girish Panjabi</t>
  </si>
  <si>
    <t xml:space="preserve">Tanuja </t>
  </si>
  <si>
    <t>Total Students</t>
  </si>
  <si>
    <t>Darsh Suryavanshi</t>
  </si>
  <si>
    <t xml:space="preserve">Satyajeet Suryavanshi </t>
  </si>
  <si>
    <t>Active Students</t>
  </si>
  <si>
    <t>Avani Alay</t>
  </si>
  <si>
    <t xml:space="preserve">Asmita </t>
  </si>
  <si>
    <t>Inactive Students</t>
  </si>
  <si>
    <t>Mireya Joseph</t>
  </si>
  <si>
    <t xml:space="preserve">Shwetha joseph </t>
  </si>
  <si>
    <t xml:space="preserve">Freeze student </t>
  </si>
  <si>
    <t>Adelen paul</t>
  </si>
  <si>
    <t>Kimberley paul</t>
  </si>
  <si>
    <t>P</t>
  </si>
  <si>
    <t xml:space="preserve"> </t>
  </si>
  <si>
    <t>Levi Mascarenhas</t>
  </si>
  <si>
    <t>Sneha Mathur</t>
  </si>
  <si>
    <t>Vivaan Salian</t>
  </si>
  <si>
    <t>Mansha Salian</t>
  </si>
  <si>
    <t>Mahira Hasan Shankmaslat</t>
  </si>
  <si>
    <t xml:space="preserve">Arfa </t>
  </si>
  <si>
    <t>Vaani Sithia</t>
  </si>
  <si>
    <t xml:space="preserve">Priyanka </t>
  </si>
  <si>
    <t>Devyansh Agarwal</t>
  </si>
  <si>
    <t xml:space="preserve">Mayank Agarwal </t>
  </si>
  <si>
    <t>Stavya Tanwar</t>
  </si>
  <si>
    <t>Surendra</t>
  </si>
  <si>
    <t>Simra Inamdar</t>
  </si>
  <si>
    <t>Sana inamdar</t>
  </si>
  <si>
    <t>Aqsa Ammanian</t>
  </si>
  <si>
    <t xml:space="preserve">Ommia </t>
  </si>
  <si>
    <t>Samiraj Krishna</t>
  </si>
  <si>
    <t xml:space="preserve">NR Krishna Kumar </t>
  </si>
  <si>
    <t>Iraa Kotale</t>
  </si>
  <si>
    <t xml:space="preserve">Amardeep </t>
  </si>
  <si>
    <t>Freya Maneckjt</t>
  </si>
  <si>
    <t>Heena mane khi</t>
  </si>
  <si>
    <t>Teesta Chaudhury</t>
  </si>
  <si>
    <t xml:space="preserve">Gunjan </t>
  </si>
  <si>
    <t>Abbas Pittalwala</t>
  </si>
  <si>
    <t>Zhabiya</t>
  </si>
  <si>
    <t>Niya Tanmay Shah</t>
  </si>
  <si>
    <t>Tanmay</t>
  </si>
  <si>
    <t>Nirvana Bhagat</t>
  </si>
  <si>
    <t>Vaibhav Bhagat</t>
  </si>
  <si>
    <t>Jahnvi Arora</t>
  </si>
  <si>
    <t xml:space="preserve">Neha </t>
  </si>
  <si>
    <t>Diyara Ghosh</t>
  </si>
  <si>
    <t xml:space="preserve">Arijit Ghosh </t>
  </si>
  <si>
    <t>Heer Motwani</t>
  </si>
  <si>
    <t>Preet</t>
  </si>
  <si>
    <t>Arsalan Khan</t>
  </si>
  <si>
    <t xml:space="preserve">Sajiya </t>
  </si>
  <si>
    <t>Anaika Raina</t>
  </si>
  <si>
    <t xml:space="preserve">Manish </t>
  </si>
  <si>
    <t>Rajveer Chawan</t>
  </si>
  <si>
    <t>Kumudini</t>
  </si>
  <si>
    <t>Rajveer Vikas Dabade</t>
  </si>
  <si>
    <t xml:space="preserve">Vikas </t>
  </si>
  <si>
    <t>Swani Jain</t>
  </si>
  <si>
    <t xml:space="preserve">Nikhil </t>
  </si>
  <si>
    <t>Shanaya S</t>
  </si>
  <si>
    <t>Ashwathy</t>
  </si>
  <si>
    <t>Rudransh Swapnil kolekar</t>
  </si>
  <si>
    <t>Ashwini</t>
  </si>
  <si>
    <t>Shanaya R</t>
  </si>
  <si>
    <t xml:space="preserve">Nikita </t>
  </si>
  <si>
    <t>Vidit Mhaske</t>
  </si>
  <si>
    <t xml:space="preserve">Sandesh </t>
  </si>
  <si>
    <t>Shabd Sharma</t>
  </si>
  <si>
    <t xml:space="preserve">Vikranty </t>
  </si>
  <si>
    <t>Avani</t>
  </si>
  <si>
    <t>Ivaan Kinra</t>
  </si>
  <si>
    <t xml:space="preserve">Yuvika </t>
  </si>
  <si>
    <t>Jaahnavi Kaur</t>
  </si>
  <si>
    <t xml:space="preserve">Gurpreet Kaur </t>
  </si>
  <si>
    <t>Vedika Giri</t>
  </si>
  <si>
    <t xml:space="preserve">Rajesh </t>
  </si>
  <si>
    <t>Zoey Sahjwani</t>
  </si>
  <si>
    <t xml:space="preserve">Divij </t>
  </si>
  <si>
    <t>Anaaya Thakkur</t>
  </si>
  <si>
    <t xml:space="preserve">Apoorva </t>
  </si>
  <si>
    <t xml:space="preserve">Deaana Bhandari </t>
  </si>
  <si>
    <t xml:space="preserve">Neeta </t>
  </si>
  <si>
    <t>Khush Wadhwa</t>
  </si>
  <si>
    <t>Drishti wadha</t>
  </si>
  <si>
    <t>Tavish Ghoshal</t>
  </si>
  <si>
    <t xml:space="preserve">Amit Ghoshal </t>
  </si>
  <si>
    <t>Anayaka Shrivastav</t>
  </si>
  <si>
    <t>20/09/20</t>
  </si>
  <si>
    <t>Shikha</t>
  </si>
  <si>
    <t>Shiv Patil</t>
  </si>
  <si>
    <t>Gaurav</t>
  </si>
  <si>
    <t>Arohi Joshi</t>
  </si>
  <si>
    <t xml:space="preserve">Pragti Joshi </t>
  </si>
  <si>
    <t>Bushra Maniyar</t>
  </si>
  <si>
    <t xml:space="preserve">Zainab </t>
  </si>
  <si>
    <t>Vardan vora</t>
  </si>
  <si>
    <t xml:space="preserve">Suchi Vora </t>
  </si>
  <si>
    <t>Nyra Nahr</t>
  </si>
  <si>
    <t xml:space="preserve">Neha Nehar </t>
  </si>
  <si>
    <t>Abdulla Sayed</t>
  </si>
  <si>
    <t xml:space="preserve">Anwar </t>
  </si>
  <si>
    <t>Maher Ray</t>
  </si>
  <si>
    <t xml:space="preserve">Ishita </t>
  </si>
  <si>
    <t>Yogesh</t>
  </si>
  <si>
    <t>Sahyadari Soni</t>
  </si>
  <si>
    <t>Akshay</t>
  </si>
  <si>
    <t>Amrita</t>
  </si>
  <si>
    <t>Miraya Katkar</t>
  </si>
  <si>
    <t xml:space="preserve">Aloma </t>
  </si>
  <si>
    <t>Prakriti khandelwal</t>
  </si>
  <si>
    <t>Neha</t>
  </si>
  <si>
    <t xml:space="preserve">Puja </t>
  </si>
  <si>
    <t>Jyotsha</t>
  </si>
  <si>
    <t>Husain Memon</t>
  </si>
  <si>
    <t xml:space="preserve">Shahid </t>
  </si>
  <si>
    <t>Deepal</t>
  </si>
  <si>
    <t>Mehr Kokil</t>
  </si>
  <si>
    <t>Pankaj</t>
  </si>
  <si>
    <t>Tisha Gangwal</t>
  </si>
  <si>
    <t xml:space="preserve">Bhavana </t>
  </si>
  <si>
    <t>Amreen</t>
  </si>
  <si>
    <t xml:space="preserve">Reena </t>
  </si>
  <si>
    <t xml:space="preserve">Khadija </t>
  </si>
  <si>
    <t>Sayalee</t>
  </si>
  <si>
    <t>29 ap</t>
  </si>
  <si>
    <t>Nazneen</t>
  </si>
  <si>
    <t>Diansh</t>
  </si>
  <si>
    <t>Asha</t>
  </si>
  <si>
    <t>Anaya Malokar</t>
  </si>
  <si>
    <t xml:space="preserve">Jayashree </t>
  </si>
  <si>
    <t>p</t>
  </si>
  <si>
    <t xml:space="preserve">Tashvi  </t>
  </si>
  <si>
    <t>Ashish</t>
  </si>
  <si>
    <t>Qiarahh</t>
  </si>
  <si>
    <t xml:space="preserve">Rahul Ghule </t>
  </si>
  <si>
    <t>Samairahh</t>
  </si>
  <si>
    <t>Amairahh</t>
  </si>
  <si>
    <t>Ruvi</t>
  </si>
  <si>
    <t xml:space="preserve">Rucha Ghule </t>
  </si>
  <si>
    <t>Namha</t>
  </si>
  <si>
    <t>Kiran Khairajani</t>
  </si>
  <si>
    <t>Bhavya</t>
  </si>
  <si>
    <t xml:space="preserve">Bhagyashree </t>
  </si>
  <si>
    <t>Ishank</t>
  </si>
  <si>
    <t>26/11/22</t>
  </si>
  <si>
    <t>Ekta</t>
  </si>
  <si>
    <t>Shree</t>
  </si>
  <si>
    <t xml:space="preserve">Rekha </t>
  </si>
  <si>
    <t>Amarya Raj</t>
  </si>
  <si>
    <t xml:space="preserve">Mahima </t>
  </si>
  <si>
    <t>Elishaa</t>
  </si>
  <si>
    <t>Leena</t>
  </si>
  <si>
    <t>Mehr Agarwal</t>
  </si>
  <si>
    <t xml:space="preserve">Ruchi </t>
  </si>
  <si>
    <t>Mayra Jain</t>
  </si>
  <si>
    <t>Nikita</t>
  </si>
  <si>
    <t>Eva</t>
  </si>
  <si>
    <t>Marina</t>
  </si>
  <si>
    <t>Aizen</t>
  </si>
  <si>
    <t xml:space="preserve">Shah Abid </t>
  </si>
  <si>
    <t>Kavya</t>
  </si>
  <si>
    <t xml:space="preserve">Anuj Gupta </t>
  </si>
  <si>
    <t>Aarav</t>
  </si>
  <si>
    <t xml:space="preserve">Jitesh </t>
  </si>
  <si>
    <t>Kiana Sawant</t>
  </si>
  <si>
    <t xml:space="preserve">Sneha </t>
  </si>
  <si>
    <t>Palaksh Mahadik</t>
  </si>
  <si>
    <t xml:space="preserve">Poonam </t>
  </si>
  <si>
    <t>Yashvi Pohani</t>
  </si>
  <si>
    <t xml:space="preserve">Vaijant </t>
  </si>
  <si>
    <t>Dhairya</t>
  </si>
  <si>
    <t>Shilpa</t>
  </si>
  <si>
    <t>Anayra David</t>
  </si>
  <si>
    <t>Meher Anand</t>
  </si>
  <si>
    <t xml:space="preserve">Nidhi </t>
  </si>
  <si>
    <t>Prisha Chaudak</t>
  </si>
  <si>
    <t xml:space="preserve">Pranav </t>
  </si>
  <si>
    <t>Aadya Kumar</t>
  </si>
  <si>
    <t>Chandra Kumar</t>
  </si>
  <si>
    <t>Mikaela Fernandes</t>
  </si>
  <si>
    <t xml:space="preserve">Maria </t>
  </si>
  <si>
    <t>Arsalan Inamdar</t>
  </si>
  <si>
    <t xml:space="preserve">Sana Inamdar </t>
  </si>
  <si>
    <t>Neel Pandey</t>
  </si>
  <si>
    <t>Akash</t>
  </si>
  <si>
    <t>Purab Pohani</t>
  </si>
  <si>
    <t>Lalchand</t>
  </si>
  <si>
    <t>Leela + Osin</t>
  </si>
  <si>
    <t xml:space="preserve">Siddhi </t>
  </si>
  <si>
    <t>Abeeha Danba</t>
  </si>
  <si>
    <t xml:space="preserve">Nazma </t>
  </si>
  <si>
    <t>Enarah</t>
  </si>
  <si>
    <t>Shahana Munshi</t>
  </si>
  <si>
    <t>Eliot Menezes</t>
  </si>
  <si>
    <t>Ryaw</t>
  </si>
  <si>
    <t>Bharat</t>
  </si>
  <si>
    <t>Damara</t>
  </si>
  <si>
    <t>Aidan Kazi</t>
  </si>
  <si>
    <t>Sarah</t>
  </si>
  <si>
    <t>Vihaan Wagh</t>
  </si>
  <si>
    <t>Meera wagh</t>
  </si>
  <si>
    <t>Twyla B</t>
  </si>
  <si>
    <t>Bhavenshvar</t>
  </si>
  <si>
    <t>Burhanuddin Al Dhar</t>
  </si>
  <si>
    <t>Alifiya</t>
  </si>
  <si>
    <t>Ineshka Patil</t>
  </si>
  <si>
    <t>Ruhita sardesai</t>
  </si>
  <si>
    <t>Fatima Dumba</t>
  </si>
  <si>
    <t>Lamia</t>
  </si>
  <si>
    <t>Vaahin Padro</t>
  </si>
  <si>
    <t>Sanjay padro</t>
  </si>
  <si>
    <t>Nuha</t>
  </si>
  <si>
    <t xml:space="preserve">Israr </t>
  </si>
  <si>
    <t>Alishah Bagwe</t>
  </si>
  <si>
    <t>Sara abbas</t>
  </si>
  <si>
    <t>Siya Tanothra</t>
  </si>
  <si>
    <t>Ankita</t>
  </si>
  <si>
    <t>Arya Mirhassan</t>
  </si>
  <si>
    <t>Niti</t>
  </si>
  <si>
    <t>Antara Ingle</t>
  </si>
  <si>
    <t>Vijay ingle</t>
  </si>
  <si>
    <t>Aayyat Sarkar</t>
  </si>
  <si>
    <t>Farhan sarkar</t>
  </si>
  <si>
    <t>Eira</t>
  </si>
  <si>
    <t>Bushra</t>
  </si>
  <si>
    <t>Anukriti Khothari</t>
  </si>
  <si>
    <t>Pranay kothari</t>
  </si>
  <si>
    <t>Hamza Husain</t>
  </si>
  <si>
    <t>Sharique</t>
  </si>
  <si>
    <t>Dhruv Solanki</t>
  </si>
  <si>
    <t>Pinky</t>
  </si>
  <si>
    <t>Hiya Solanki</t>
  </si>
  <si>
    <t>Sharvi Nagare</t>
  </si>
  <si>
    <t xml:space="preserve">Minal </t>
  </si>
  <si>
    <t>Tavish Patil</t>
  </si>
  <si>
    <t>Amyra Agarwal</t>
  </si>
  <si>
    <t>Ankita Grover</t>
  </si>
  <si>
    <t>Zainab Z</t>
  </si>
  <si>
    <t>Oliya</t>
  </si>
  <si>
    <t>Saasha Kadam</t>
  </si>
  <si>
    <t>Rajni</t>
  </si>
  <si>
    <t>Avisha Phate</t>
  </si>
  <si>
    <t xml:space="preserve">Avisha </t>
  </si>
  <si>
    <t>Priyanshi</t>
  </si>
  <si>
    <t>Parometa</t>
  </si>
  <si>
    <t>Munazza Sayyad</t>
  </si>
  <si>
    <t>Saba karigar</t>
  </si>
  <si>
    <t>Samara Imaratwale</t>
  </si>
  <si>
    <t>Shehnaz attar</t>
  </si>
  <si>
    <t>Amelia Irani</t>
  </si>
  <si>
    <t>Glenny</t>
  </si>
  <si>
    <t>Maham Shaikh0P</t>
  </si>
  <si>
    <t>Shazil shaikh</t>
  </si>
  <si>
    <t>Veda Neulkar</t>
  </si>
  <si>
    <t>Chaitra</t>
  </si>
  <si>
    <t>Shivam Chhabra</t>
  </si>
  <si>
    <t>Jenis</t>
  </si>
  <si>
    <t>Anaiza Patel</t>
  </si>
  <si>
    <t>Saqueeb</t>
  </si>
  <si>
    <t>Prisha Kadam</t>
  </si>
  <si>
    <t>Preeti kadam</t>
  </si>
  <si>
    <t>Muhammad Ali</t>
  </si>
  <si>
    <t>Mason</t>
  </si>
  <si>
    <t>Amyra Milaney</t>
  </si>
  <si>
    <t xml:space="preserve">Shilpa </t>
  </si>
  <si>
    <t>Myra Trivedi</t>
  </si>
  <si>
    <t>Namrata</t>
  </si>
  <si>
    <t>Maryam Ahmed</t>
  </si>
  <si>
    <t>Dr zaib</t>
  </si>
  <si>
    <t>Asiya Ahmed</t>
  </si>
  <si>
    <t>Abdur Ahmed</t>
  </si>
  <si>
    <t>A Avyaan</t>
  </si>
  <si>
    <t xml:space="preserve">A Siva </t>
  </si>
  <si>
    <t>Rudhvi Koul</t>
  </si>
  <si>
    <t xml:space="preserve">Shradha </t>
  </si>
  <si>
    <t>Aarush Patil</t>
  </si>
  <si>
    <t>Aaditya patil</t>
  </si>
  <si>
    <t>Pranavi Rathore</t>
  </si>
  <si>
    <t>Priyanka rathore</t>
  </si>
  <si>
    <t>Ditvi dodeja</t>
  </si>
  <si>
    <t>Sharat dodeja</t>
  </si>
  <si>
    <t>Vedika gadge</t>
  </si>
  <si>
    <t>Gayathri</t>
  </si>
  <si>
    <t>Aatif dhankwala</t>
  </si>
  <si>
    <t>Jasneem</t>
  </si>
  <si>
    <t>Japseerat singh</t>
  </si>
  <si>
    <t xml:space="preserve">Jaspal singh </t>
  </si>
  <si>
    <t>Vedika milaney</t>
  </si>
  <si>
    <t>Araina ankalagi</t>
  </si>
  <si>
    <t>Adila</t>
  </si>
  <si>
    <t>Shivam more</t>
  </si>
  <si>
    <t>Rohan</t>
  </si>
  <si>
    <t>Varnika menon</t>
  </si>
  <si>
    <t>Shruthi menon</t>
  </si>
  <si>
    <t>Harshita sadhale</t>
  </si>
  <si>
    <t>Ovi sadhale</t>
  </si>
  <si>
    <t>Laiba Tamboli</t>
  </si>
  <si>
    <t xml:space="preserve">Samina </t>
  </si>
  <si>
    <t>Ummemavi Pipermintwala</t>
  </si>
  <si>
    <t xml:space="preserve">Fakhruddin </t>
  </si>
  <si>
    <t xml:space="preserve">Naazish Firoz </t>
  </si>
  <si>
    <t xml:space="preserve">Kashish firoz </t>
  </si>
  <si>
    <t>Rishivv rana</t>
  </si>
  <si>
    <t xml:space="preserve">Vishura </t>
  </si>
  <si>
    <t>Vidhi patne</t>
  </si>
  <si>
    <t>Saket patne</t>
  </si>
  <si>
    <t>Shlok walekar</t>
  </si>
  <si>
    <t>Shuha</t>
  </si>
  <si>
    <t>Amyra vishal patil</t>
  </si>
  <si>
    <t>Shruti trapasia</t>
  </si>
  <si>
    <t>Myra chandani</t>
  </si>
  <si>
    <t>Suchita chandani</t>
  </si>
  <si>
    <t>Shree Nitin Thokare</t>
  </si>
  <si>
    <t>Vishaka Sanjay Bagul</t>
  </si>
  <si>
    <t>Kiyansh kumar</t>
  </si>
  <si>
    <t>Kamlesh</t>
  </si>
  <si>
    <t>Shanaya jha</t>
  </si>
  <si>
    <t>Khushi jha</t>
  </si>
  <si>
    <t>Sakina saifee</t>
  </si>
  <si>
    <t>Huzaifa saifee</t>
  </si>
  <si>
    <t>Abbas</t>
  </si>
  <si>
    <t>Mahi vora</t>
  </si>
  <si>
    <t>Monika vora</t>
  </si>
  <si>
    <t xml:space="preserve">Regular Fees Calculator </t>
  </si>
  <si>
    <t xml:space="preserve">1 To 1 Calculator </t>
  </si>
  <si>
    <t>S/W</t>
  </si>
  <si>
    <t>Price</t>
  </si>
  <si>
    <t>Monday</t>
  </si>
  <si>
    <t>Yes</t>
  </si>
  <si>
    <t>Tuesday</t>
  </si>
  <si>
    <t>No</t>
  </si>
  <si>
    <t>Wednesday</t>
  </si>
  <si>
    <t>Thursday</t>
  </si>
  <si>
    <t>Friday</t>
  </si>
  <si>
    <t>Saturday</t>
  </si>
  <si>
    <t>Sunday</t>
  </si>
  <si>
    <t xml:space="preserve">Discount% </t>
  </si>
  <si>
    <t>Total Session</t>
  </si>
  <si>
    <t>Price Per Session</t>
  </si>
  <si>
    <t>Total Fees</t>
  </si>
  <si>
    <t>Final Price</t>
  </si>
  <si>
    <t xml:space="preserve">Number of Days </t>
  </si>
  <si>
    <t xml:space="preserve">Grace Days </t>
  </si>
  <si>
    <t xml:space="preserve">Timing </t>
  </si>
  <si>
    <t xml:space="preserve">7am-8am          </t>
  </si>
  <si>
    <t>8am-9am</t>
  </si>
  <si>
    <t>9am-10am</t>
  </si>
  <si>
    <t>Break</t>
  </si>
  <si>
    <t>10am-11am</t>
  </si>
  <si>
    <t>Sunishka</t>
  </si>
  <si>
    <t>Helen</t>
  </si>
  <si>
    <t>11am-12pm</t>
  </si>
  <si>
    <t>Chirag</t>
  </si>
  <si>
    <t>12pm-1pm</t>
  </si>
  <si>
    <t>Kabir</t>
  </si>
  <si>
    <t>Rest Time</t>
  </si>
  <si>
    <t>1pm-2pm</t>
  </si>
  <si>
    <t>2pm-3pm</t>
  </si>
  <si>
    <t>3pm-4pm</t>
  </si>
  <si>
    <t>Manva</t>
  </si>
  <si>
    <t>Abaan</t>
  </si>
  <si>
    <t>4pm-5pm</t>
  </si>
  <si>
    <t>3yr to 5yr</t>
  </si>
  <si>
    <t>5pm-6pm</t>
  </si>
  <si>
    <t>6pm-7pm</t>
  </si>
  <si>
    <t>6yr and 15yrs</t>
  </si>
  <si>
    <t>7pm-8pm</t>
  </si>
  <si>
    <t>8pm-9pm</t>
  </si>
  <si>
    <t>Vishruth</t>
  </si>
  <si>
    <t>Sr. No</t>
  </si>
  <si>
    <t>Date of Enquiry</t>
  </si>
  <si>
    <t>Name of the Child</t>
  </si>
  <si>
    <t xml:space="preserve">Contact No </t>
  </si>
  <si>
    <t>Remarks</t>
  </si>
  <si>
    <t>21-05-2026</t>
  </si>
  <si>
    <t>Anaaya</t>
  </si>
  <si>
    <t>She is from Vibgyor school Grade 2 stays at Salunke Vihar recently shifted from Delhi. Mother said she will come tomorrow and enroll her for 2 sessions per week.</t>
  </si>
  <si>
    <t>Samar Sangram Sukade</t>
  </si>
  <si>
    <t>Mother said she will come on Saturday with his father to enroll Sangram for 3 sessions per week he is in LKG stays in Handewadi.</t>
  </si>
  <si>
    <t>Age</t>
  </si>
  <si>
    <t>Parent Name</t>
  </si>
  <si>
    <t>Mobile Number</t>
  </si>
  <si>
    <t>Reason</t>
  </si>
  <si>
    <t>Asmita</t>
  </si>
  <si>
    <t>Darsh</t>
  </si>
  <si>
    <t xml:space="preserve">Satyajeet </t>
  </si>
  <si>
    <t>Waniya</t>
  </si>
  <si>
    <t xml:space="preserve">Abroad </t>
  </si>
  <si>
    <t xml:space="preserve">Aqsa Amman Jain  </t>
  </si>
  <si>
    <t xml:space="preserve">Iraa Kotale  </t>
  </si>
  <si>
    <t xml:space="preserve">Come from long distance </t>
  </si>
  <si>
    <t xml:space="preserve">Abbas Mustafa </t>
  </si>
  <si>
    <t xml:space="preserve">Nirvaan Bhagat </t>
  </si>
  <si>
    <t>Vaibhav</t>
  </si>
  <si>
    <t xml:space="preserve">Jahnvi Arora  </t>
  </si>
  <si>
    <t>Didn't like the coach behaviour (Shilpa)</t>
  </si>
  <si>
    <t>Arsalaan Malik</t>
  </si>
  <si>
    <t>Shaziya Shaikh</t>
  </si>
  <si>
    <t>Rajveersingh</t>
  </si>
  <si>
    <t>Heera</t>
  </si>
  <si>
    <t/>
  </si>
  <si>
    <t>Alicia D'Souza</t>
  </si>
  <si>
    <t xml:space="preserve">Chilra </t>
  </si>
  <si>
    <t>Burhanuddin</t>
  </si>
  <si>
    <t>Rabab</t>
  </si>
  <si>
    <t>Shehrebanu</t>
  </si>
  <si>
    <t>Fazil</t>
  </si>
  <si>
    <t>Iram</t>
  </si>
  <si>
    <t>Devyansh Agarw</t>
  </si>
  <si>
    <t>Mayank Agarwal</t>
  </si>
  <si>
    <t xml:space="preserve">Meet Vora </t>
  </si>
  <si>
    <t>Monika</t>
  </si>
  <si>
    <t xml:space="preserve">Adult  </t>
  </si>
  <si>
    <t>Levi Mascarenha</t>
  </si>
  <si>
    <t xml:space="preserve">Timing problem </t>
  </si>
  <si>
    <t xml:space="preserve">Amrisha Khurmi </t>
  </si>
  <si>
    <t>Karandeep Singh</t>
  </si>
  <si>
    <t>Out of state</t>
  </si>
  <si>
    <t xml:space="preserve">Salvador Ivaan </t>
  </si>
  <si>
    <t xml:space="preserve">Erika </t>
  </si>
  <si>
    <t>Didn't like the environment</t>
  </si>
  <si>
    <t>Tanaya</t>
  </si>
  <si>
    <t>Rachel</t>
  </si>
  <si>
    <t>call not recevied</t>
  </si>
  <si>
    <t>Anayah Sayyad</t>
  </si>
  <si>
    <t>Sahil</t>
  </si>
  <si>
    <t>rejoining afterr ramzan</t>
  </si>
  <si>
    <t>Ciya</t>
  </si>
  <si>
    <t>Priya Deshpande</t>
  </si>
  <si>
    <t>Nivika Bhakshi</t>
  </si>
  <si>
    <t>Divya Bakshi</t>
  </si>
  <si>
    <t>Raahi</t>
  </si>
  <si>
    <t xml:space="preserve">Heena </t>
  </si>
  <si>
    <t xml:space="preserve">injured </t>
  </si>
  <si>
    <t>Manthan Dhami</t>
  </si>
  <si>
    <t>Komal</t>
  </si>
  <si>
    <t>left</t>
  </si>
  <si>
    <t>Heer Chugh</t>
  </si>
  <si>
    <t>Pahel</t>
  </si>
  <si>
    <t>Mireya</t>
  </si>
  <si>
    <t>Shwetha Joseph</t>
  </si>
  <si>
    <t>Vivaan</t>
  </si>
  <si>
    <t>Mansha</t>
  </si>
  <si>
    <t xml:space="preserve">out of india </t>
  </si>
  <si>
    <t xml:space="preserve">Riyona </t>
  </si>
  <si>
    <t>Kashish</t>
  </si>
  <si>
    <t>Dhruv</t>
  </si>
  <si>
    <t xml:space="preserve">Sapna </t>
  </si>
  <si>
    <t>Yuvti</t>
  </si>
  <si>
    <t>Harsha</t>
  </si>
  <si>
    <t xml:space="preserve">Nyra </t>
  </si>
  <si>
    <t>Teesta</t>
  </si>
  <si>
    <t>Gunjan</t>
  </si>
  <si>
    <t>out of state</t>
  </si>
  <si>
    <t xml:space="preserve">Hriti </t>
  </si>
  <si>
    <t xml:space="preserve">she will rejoin from june </t>
  </si>
  <si>
    <t>To search</t>
  </si>
  <si>
    <t>Id no</t>
  </si>
  <si>
    <t>Number</t>
  </si>
  <si>
    <t>TAG1</t>
  </si>
  <si>
    <t xml:space="preserve">Girija Balaji Kalyani </t>
  </si>
  <si>
    <t xml:space="preserve">Eliana vasa </t>
  </si>
  <si>
    <t>Meera Shinde</t>
  </si>
  <si>
    <t>Khwab R Singh</t>
  </si>
  <si>
    <t>Nandika Joshi</t>
  </si>
  <si>
    <t xml:space="preserve">Avni Girdhar </t>
  </si>
  <si>
    <t>Namasya Wadhwa</t>
  </si>
  <si>
    <t>Ibrahim Khalid</t>
  </si>
  <si>
    <t>Lakshita Kumar</t>
  </si>
  <si>
    <t>Ruqaiya Safdar</t>
  </si>
  <si>
    <t>Sanchi Lachake</t>
  </si>
  <si>
    <t xml:space="preserve">Jehniaz Tamboli </t>
  </si>
  <si>
    <t>Arjun Kanal</t>
  </si>
  <si>
    <t>Diansh Madhrani</t>
  </si>
  <si>
    <t xml:space="preserve">Total Days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</si>
</sst>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#,##0_);[Red]\(&quot;₹&quot;#,##0\)"/>
    <numFmt numFmtId="164" formatCode="[$₹-4009]#,##0"/>
    <numFmt numFmtId="165" formatCode="[$₹-439]#,##0"/>
  </numFmts>
  <fonts count="1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6"/>
      <name val="Yu Gothic"/>
      <family val="2"/>
      <charset val="128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charset val="1"/>
      <scheme val="minor"/>
    </font>
    <font>
      <sz val="10"/>
      <color theme="1"/>
      <name val="Arial"/>
      <charset val="1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</font>
    <font>
      <sz val="11"/>
      <color rgb="FF000000"/>
      <name val="Calibri"/>
    </font>
    <font>
      <b/>
      <sz val="12"/>
      <color rgb="FF000000"/>
      <name val="Calibri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theme="1" tint="0.89999084444715716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505050"/>
      </left>
      <right style="thin">
        <color rgb="FF505050"/>
      </right>
      <top/>
      <bottom/>
      <diagonal/>
    </border>
  </borders>
  <cellStyleXfs count="1">
    <xf numFmtId="0" fontId="0" fillId="0" borderId="0"/>
  </cellStyleXfs>
  <cellXfs count="122">
    <xf numFmtId="0" fontId="0" fillId="0" borderId="0" xfId="0"/>
    <xf numFmtId="0" fontId="5" fillId="0" borderId="0" xfId="0" applyFont="1" applyBorder="1" applyAlignment="1">
      <alignment wrapText="1"/>
    </xf>
    <xf numFmtId="0" fontId="1" fillId="2" borderId="0" xfId="0" applyFont="1" applyFill="1" applyBorder="1"/>
    <xf numFmtId="0" fontId="0" fillId="2" borderId="0" xfId="0" applyFont="1" applyFill="1" applyBorder="1"/>
    <xf numFmtId="15" fontId="0" fillId="2" borderId="0" xfId="0" applyNumberFormat="1" applyFont="1" applyFill="1" applyBorder="1"/>
    <xf numFmtId="17" fontId="0" fillId="2" borderId="0" xfId="0" applyNumberFormat="1" applyFont="1" applyFill="1" applyBorder="1"/>
    <xf numFmtId="14" fontId="0" fillId="2" borderId="0" xfId="0" applyNumberFormat="1" applyFont="1" applyFill="1" applyBorder="1" applyAlignment="1">
      <alignment horizontal="center"/>
    </xf>
    <xf numFmtId="15" fontId="0" fillId="2" borderId="0" xfId="0" applyNumberFormat="1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1" fontId="0" fillId="2" borderId="0" xfId="0" applyNumberFormat="1" applyFill="1" applyBorder="1"/>
    <xf numFmtId="164" fontId="0" fillId="2" borderId="0" xfId="0" applyNumberFormat="1" applyFont="1" applyFill="1" applyBorder="1" applyAlignment="1">
      <alignment horizontal="center"/>
    </xf>
    <xf numFmtId="0" fontId="0" fillId="2" borderId="0" xfId="0" applyFill="1" applyBorder="1"/>
    <xf numFmtId="0" fontId="3" fillId="3" borderId="0" xfId="0" applyFont="1" applyFill="1" applyBorder="1"/>
    <xf numFmtId="164" fontId="0" fillId="2" borderId="0" xfId="0" applyNumberFormat="1" applyFont="1" applyFill="1" applyBorder="1"/>
    <xf numFmtId="16" fontId="0" fillId="2" borderId="0" xfId="0" applyNumberFormat="1" applyFont="1" applyFill="1" applyBorder="1"/>
    <xf numFmtId="0" fontId="3" fillId="5" borderId="0" xfId="0" applyFont="1" applyFill="1" applyBorder="1"/>
    <xf numFmtId="0" fontId="3" fillId="4" borderId="0" xfId="0" applyFont="1" applyFill="1" applyBorder="1"/>
    <xf numFmtId="16" fontId="0" fillId="2" borderId="0" xfId="0" applyNumberFormat="1" applyFill="1" applyBorder="1"/>
    <xf numFmtId="164" fontId="0" fillId="2" borderId="0" xfId="0" applyNumberFormat="1" applyFill="1" applyBorder="1" applyAlignment="1">
      <alignment horizontal="center"/>
    </xf>
    <xf numFmtId="15" fontId="0" fillId="2" borderId="0" xfId="0" applyNumberFormat="1" applyFill="1" applyBorder="1" applyAlignment="1">
      <alignment horizontal="center"/>
    </xf>
    <xf numFmtId="0" fontId="0" fillId="2" borderId="0" xfId="0" applyNumberFormat="1" applyFont="1" applyFill="1" applyBorder="1"/>
    <xf numFmtId="0" fontId="3" fillId="2" borderId="0" xfId="0" applyFont="1" applyFill="1" applyBorder="1"/>
    <xf numFmtId="15" fontId="0" fillId="2" borderId="0" xfId="0" applyNumberFormat="1" applyFill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1" xfId="0" applyFont="1" applyBorder="1" applyAlignment="1">
      <alignment horizontal="center" vertical="center" readingOrder="1"/>
    </xf>
    <xf numFmtId="0" fontId="8" fillId="7" borderId="1" xfId="0" applyFont="1" applyFill="1" applyBorder="1" applyAlignment="1">
      <alignment horizontal="center" vertical="center"/>
    </xf>
    <xf numFmtId="14" fontId="5" fillId="0" borderId="0" xfId="0" applyNumberFormat="1" applyFont="1" applyBorder="1" applyAlignment="1">
      <alignment wrapText="1"/>
    </xf>
    <xf numFmtId="6" fontId="5" fillId="0" borderId="0" xfId="0" applyNumberFormat="1" applyFont="1" applyBorder="1" applyAlignment="1">
      <alignment wrapText="1"/>
    </xf>
    <xf numFmtId="0" fontId="10" fillId="0" borderId="0" xfId="0" applyFont="1" applyBorder="1" applyAlignment="1"/>
    <xf numFmtId="0" fontId="0" fillId="0" borderId="1" xfId="0" applyBorder="1"/>
    <xf numFmtId="0" fontId="5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10" fillId="16" borderId="1" xfId="0" applyFont="1" applyFill="1" applyBorder="1" applyAlignment="1"/>
    <xf numFmtId="0" fontId="10" fillId="15" borderId="1" xfId="0" applyFont="1" applyFill="1" applyBorder="1" applyAlignment="1"/>
    <xf numFmtId="0" fontId="9" fillId="14" borderId="1" xfId="0" applyFont="1" applyFill="1" applyBorder="1" applyAlignment="1"/>
    <xf numFmtId="0" fontId="10" fillId="15" borderId="2" xfId="0" applyFont="1" applyFill="1" applyBorder="1" applyAlignment="1"/>
    <xf numFmtId="0" fontId="10" fillId="16" borderId="2" xfId="0" applyFont="1" applyFill="1" applyBorder="1" applyAlignment="1"/>
    <xf numFmtId="0" fontId="10" fillId="0" borderId="2" xfId="0" applyFont="1" applyBorder="1" applyAlignment="1"/>
    <xf numFmtId="0" fontId="10" fillId="15" borderId="3" xfId="0" applyFont="1" applyFill="1" applyBorder="1" applyAlignment="1"/>
    <xf numFmtId="0" fontId="10" fillId="0" borderId="3" xfId="0" applyFont="1" applyBorder="1" applyAlignment="1"/>
    <xf numFmtId="0" fontId="10" fillId="0" borderId="4" xfId="0" applyFont="1" applyBorder="1" applyAlignment="1"/>
    <xf numFmtId="0" fontId="1" fillId="2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/>
    <xf numFmtId="0" fontId="0" fillId="2" borderId="1" xfId="0" applyFont="1" applyFill="1" applyBorder="1"/>
    <xf numFmtId="164" fontId="0" fillId="3" borderId="1" xfId="0" applyNumberFormat="1" applyFont="1" applyFill="1" applyBorder="1"/>
    <xf numFmtId="17" fontId="0" fillId="2" borderId="1" xfId="0" applyNumberFormat="1" applyFont="1" applyFill="1" applyBorder="1"/>
    <xf numFmtId="164" fontId="0" fillId="6" borderId="1" xfId="0" applyNumberFormat="1" applyFont="1" applyFill="1" applyBorder="1"/>
    <xf numFmtId="0" fontId="0" fillId="0" borderId="0" xfId="0" applyBorder="1"/>
    <xf numFmtId="0" fontId="4" fillId="0" borderId="3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0" fillId="2" borderId="0" xfId="0" applyFill="1"/>
    <xf numFmtId="164" fontId="0" fillId="2" borderId="0" xfId="0" applyNumberFormat="1" applyFill="1"/>
    <xf numFmtId="1" fontId="0" fillId="2" borderId="0" xfId="0" applyNumberFormat="1" applyFill="1"/>
    <xf numFmtId="0" fontId="0" fillId="2" borderId="0" xfId="0" applyFill="1" applyAlignment="1">
      <alignment horizontal="center"/>
    </xf>
    <xf numFmtId="14" fontId="0" fillId="2" borderId="0" xfId="0" applyNumberFormat="1" applyFill="1" applyAlignment="1">
      <alignment horizontal="center"/>
    </xf>
    <xf numFmtId="17" fontId="0" fillId="2" borderId="0" xfId="0" applyNumberFormat="1" applyFill="1"/>
    <xf numFmtId="164" fontId="0" fillId="2" borderId="0" xfId="0" applyNumberFormat="1" applyFill="1" applyAlignment="1">
      <alignment horizontal="center"/>
    </xf>
    <xf numFmtId="15" fontId="0" fillId="2" borderId="0" xfId="0" applyNumberFormat="1" applyFill="1" applyAlignment="1">
      <alignment horizontal="center"/>
    </xf>
    <xf numFmtId="0" fontId="0" fillId="0" borderId="7" xfId="0" applyBorder="1"/>
    <xf numFmtId="164" fontId="0" fillId="0" borderId="7" xfId="0" applyNumberFormat="1" applyBorder="1"/>
    <xf numFmtId="0" fontId="3" fillId="7" borderId="7" xfId="0" applyFont="1" applyFill="1" applyBorder="1"/>
    <xf numFmtId="0" fontId="10" fillId="0" borderId="1" xfId="0" applyFont="1" applyBorder="1" applyAlignment="1"/>
    <xf numFmtId="165" fontId="12" fillId="13" borderId="1" xfId="0" applyNumberFormat="1" applyFont="1" applyFill="1" applyBorder="1"/>
    <xf numFmtId="165" fontId="12" fillId="12" borderId="1" xfId="0" applyNumberFormat="1" applyFont="1" applyFill="1" applyBorder="1"/>
    <xf numFmtId="0" fontId="12" fillId="8" borderId="1" xfId="0" applyFont="1" applyFill="1" applyBorder="1"/>
    <xf numFmtId="165" fontId="12" fillId="0" borderId="1" xfId="0" applyNumberFormat="1" applyFont="1" applyBorder="1"/>
    <xf numFmtId="1" fontId="12" fillId="0" borderId="1" xfId="0" applyNumberFormat="1" applyFont="1" applyBorder="1" applyAlignment="1">
      <alignment wrapText="1"/>
    </xf>
    <xf numFmtId="0" fontId="12" fillId="9" borderId="1" xfId="0" applyFont="1" applyFill="1" applyBorder="1"/>
    <xf numFmtId="0" fontId="11" fillId="0" borderId="1" xfId="0" applyFont="1" applyBorder="1"/>
    <xf numFmtId="0" fontId="12" fillId="0" borderId="1" xfId="0" applyFont="1" applyBorder="1"/>
    <xf numFmtId="0" fontId="11" fillId="11" borderId="2" xfId="0" applyFont="1" applyFill="1" applyBorder="1" applyAlignment="1"/>
    <xf numFmtId="0" fontId="11" fillId="11" borderId="5" xfId="0" applyFont="1" applyFill="1" applyBorder="1" applyAlignment="1"/>
    <xf numFmtId="0" fontId="11" fillId="11" borderId="6" xfId="0" applyFont="1" applyFill="1" applyBorder="1" applyAlignment="1"/>
    <xf numFmtId="14" fontId="12" fillId="10" borderId="2" xfId="0" applyNumberFormat="1" applyFont="1" applyFill="1" applyBorder="1" applyAlignment="1"/>
    <xf numFmtId="0" fontId="12" fillId="0" borderId="3" xfId="0" applyFont="1" applyBorder="1" applyAlignment="1"/>
    <xf numFmtId="0" fontId="12" fillId="0" borderId="9" xfId="0" applyFont="1" applyBorder="1" applyAlignment="1"/>
    <xf numFmtId="0" fontId="12" fillId="0" borderId="4" xfId="0" applyFont="1" applyBorder="1" applyAlignment="1"/>
    <xf numFmtId="0" fontId="12" fillId="0" borderId="2" xfId="0" applyFont="1" applyBorder="1"/>
    <xf numFmtId="0" fontId="0" fillId="0" borderId="0" xfId="0" applyAlignment="1">
      <alignment horizontal="center"/>
    </xf>
    <xf numFmtId="0" fontId="11" fillId="0" borderId="3" xfId="0" applyFont="1" applyBorder="1"/>
    <xf numFmtId="0" fontId="0" fillId="0" borderId="13" xfId="0" applyFont="1" applyBorder="1"/>
    <xf numFmtId="0" fontId="0" fillId="0" borderId="10" xfId="0" applyFont="1" applyBorder="1" applyAlignment="1">
      <alignment horizontal="right"/>
    </xf>
    <xf numFmtId="0" fontId="3" fillId="0" borderId="11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165" fontId="12" fillId="17" borderId="1" xfId="0" applyNumberFormat="1" applyFont="1" applyFill="1" applyBorder="1"/>
    <xf numFmtId="0" fontId="9" fillId="0" borderId="7" xfId="0" applyFont="1" applyBorder="1" applyAlignment="1"/>
    <xf numFmtId="0" fontId="3" fillId="18" borderId="10" xfId="0" applyFont="1" applyFill="1" applyBorder="1"/>
    <xf numFmtId="0" fontId="0" fillId="0" borderId="0" xfId="0" applyAlignment="1"/>
    <xf numFmtId="165" fontId="13" fillId="4" borderId="15" xfId="0" applyNumberFormat="1" applyFont="1" applyFill="1" applyBorder="1"/>
    <xf numFmtId="165" fontId="12" fillId="12" borderId="2" xfId="0" applyNumberFormat="1" applyFont="1" applyFill="1" applyBorder="1"/>
    <xf numFmtId="0" fontId="11" fillId="2" borderId="1" xfId="0" applyFont="1" applyFill="1" applyBorder="1" applyAlignment="1"/>
    <xf numFmtId="0" fontId="11" fillId="2" borderId="2" xfId="0" applyFont="1" applyFill="1" applyBorder="1" applyAlignment="1"/>
    <xf numFmtId="0" fontId="11" fillId="2" borderId="10" xfId="0" applyFont="1" applyFill="1" applyBorder="1" applyAlignment="1"/>
    <xf numFmtId="0" fontId="11" fillId="2" borderId="14" xfId="0" applyFont="1" applyFill="1" applyBorder="1" applyAlignment="1"/>
    <xf numFmtId="0" fontId="10" fillId="4" borderId="13" xfId="0" applyFont="1" applyFill="1" applyBorder="1" applyAlignment="1"/>
    <xf numFmtId="0" fontId="12" fillId="9" borderId="2" xfId="0" applyNumberFormat="1" applyFont="1" applyFill="1" applyBorder="1"/>
    <xf numFmtId="0" fontId="12" fillId="8" borderId="9" xfId="0" applyFont="1" applyFill="1" applyBorder="1"/>
    <xf numFmtId="0" fontId="3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2" fillId="2" borderId="12" xfId="0" applyFont="1" applyFill="1" applyBorder="1" applyAlignment="1">
      <alignment horizontal="center"/>
    </xf>
    <xf numFmtId="0" fontId="12" fillId="2" borderId="16" xfId="0" applyFont="1" applyFill="1" applyBorder="1" applyAlignment="1">
      <alignment horizontal="center"/>
    </xf>
    <xf numFmtId="0" fontId="12" fillId="2" borderId="11" xfId="0" applyFont="1" applyFill="1" applyBorder="1" applyAlignment="1">
      <alignment horizontal="center"/>
    </xf>
    <xf numFmtId="0" fontId="12" fillId="2" borderId="7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4" fontId="12" fillId="10" borderId="2" xfId="0" applyNumberFormat="1" applyFont="1" applyFill="1" applyBorder="1" applyAlignment="1">
      <alignment horizontal="center"/>
    </xf>
    <xf numFmtId="14" fontId="12" fillId="10" borderId="6" xfId="0" applyNumberFormat="1" applyFont="1" applyFill="1" applyBorder="1" applyAlignment="1">
      <alignment horizontal="center"/>
    </xf>
    <xf numFmtId="0" fontId="9" fillId="16" borderId="1" xfId="0" applyFont="1" applyFill="1" applyBorder="1" applyAlignment="1">
      <alignment horizontal="center"/>
    </xf>
    <xf numFmtId="0" fontId="9" fillId="16" borderId="2" xfId="0" applyFont="1" applyFill="1" applyBorder="1" applyAlignment="1">
      <alignment horizontal="center"/>
    </xf>
    <xf numFmtId="0" fontId="9" fillId="16" borderId="5" xfId="0" applyFont="1" applyFill="1" applyBorder="1" applyAlignment="1">
      <alignment horizontal="center"/>
    </xf>
    <xf numFmtId="0" fontId="9" fillId="16" borderId="6" xfId="0" applyFont="1" applyFill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</cellXfs>
  <cellStyles count="1">
    <cellStyle name="Normal" xfId="0" builtinId="0"/>
  </cellStyles>
  <dxfs count="91"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>
          <bgColor rgb="FFFFFFCC"/>
        </patternFill>
      </fill>
    </dxf>
    <dxf>
      <font>
        <color theme="1"/>
      </font>
      <fill>
        <patternFill patternType="solid">
          <bgColor theme="3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</dxf>
    <dxf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₹-4009]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0"/>
          <bgColor indexed="64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0" formatCode="dd\-mmm\-yy"/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0" formatCode="dd\-mmm\-yy"/>
      <fill>
        <patternFill patternType="solid">
          <fgColor theme="0"/>
          <bgColor indexed="6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"/>
      <fill>
        <patternFill patternType="solid">
          <fgColor theme="0"/>
          <bgColor indexed="6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/>
          <b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</dxf>
    <dxf>
      <fill>
        <patternFill patternType="solid">
          <f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0"/>
          <bgColor indexed="64"/>
        </patternFill>
      </fill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336977A8-2FD8-084A-A2FD-414D3AD5EEA6}">
    <nsvFilter filterId="{A4A6BF1B-5A06-7A4A-BE66-73E890104BD2}" ref="A2:CD202" tableId="3">
      <sortRules>
        <sortRule colId="9" id="{C1A1B224-25BE-DF47-9A46-01F40F9D8D2B}">
          <sortCondition descending="1" ref="J2:J202"/>
        </sortRule>
      </sortRules>
    </nsvFilter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saif tamboli" id="{025D2676-7938-D149-9ACA-CCCB61C897A1}" userId="2c919f5c33e8e2db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A6BF1B-5A06-7A4A-BE66-73E890104BD2}" name="Table3" displayName="Table3" ref="A2:CD202" totalsRowShown="0" headerRowDxfId="90" dataDxfId="88" headerRowBorderDxfId="89">
  <autoFilter ref="A2:CD202" xr:uid="{A4A6BF1B-5A06-7A4A-BE66-73E890104BD2}">
    <filterColumn colId="81">
      <colorFilter dxfId="87"/>
    </filterColumn>
  </autoFilter>
  <sortState xmlns:xlrd2="http://schemas.microsoft.com/office/spreadsheetml/2017/richdata2" ref="A3:CD202">
    <sortCondition ref="A2:A202"/>
  </sortState>
  <tableColumns count="82">
    <tableColumn id="83" xr3:uid="{10479CA3-E322-443F-902F-24ACBE53D51A}" name="ID No." dataDxfId="86">
      <calculatedColumnFormula>CONCATENATE("TAG",#REF!)</calculatedColumnFormula>
    </tableColumn>
    <tableColumn id="1" xr3:uid="{2B66CE79-6ECF-4241-988A-05D32155FE37}" name="Student Name" dataDxfId="85"/>
    <tableColumn id="2" xr3:uid="{42595F2B-560C-D644-A56C-A1052E1E8C96}" name="Date of birth " dataDxfId="84"/>
    <tableColumn id="3" xr3:uid="{C52B2612-72E9-B04D-A99E-C190043717FF}" name="Age " dataDxfId="83">
      <calculatedColumnFormula>DATEDIF(C3,TODAY(),"Y") + DATEDIF(C3,TODAY(),"YM")/10</calculatedColumnFormula>
    </tableColumn>
    <tableColumn id="4" xr3:uid="{E5ECE27E-3AA5-7643-AA99-D08E26405F57}" name="Parents name" dataDxfId="82"/>
    <tableColumn id="5" xr3:uid="{0422876C-79BF-F348-8215-1BF2CF8113C3}" name="Contact Number" dataDxfId="81"/>
    <tableColumn id="6" xr3:uid="{4F27745C-42A6-7244-8D79-910171D93820}" name="Admission Date" dataDxfId="80"/>
    <tableColumn id="7" xr3:uid="{564B2656-54D5-3A4A-932F-759F583FC913}" name="Student Tenure " dataDxfId="79">
      <calculatedColumnFormula>DATEDIF(G3,TODAY(),"M") &amp; " Months"</calculatedColumnFormula>
    </tableColumn>
    <tableColumn id="8" xr3:uid="{0AE86466-C17A-874C-AC19-AC7818C69000}" name="Start Date" dataDxfId="78"/>
    <tableColumn id="9" xr3:uid="{C1A1B224-25BE-DF47-9A46-01F40F9D8D2B}" name="End Date" dataDxfId="77">
      <calculatedColumnFormula>EDATE(I3,3)</calculatedColumnFormula>
    </tableColumn>
    <tableColumn id="10" xr3:uid="{D14F8F3C-A475-054C-9F8B-7187A8C5FEE9}" name="Session  " dataDxfId="76"/>
    <tableColumn id="11" xr3:uid="{62645054-9AD4-324F-90F7-8DE4A0C47090}" name="Validity Days" dataDxfId="75"/>
    <tableColumn id="12" xr3:uid="{452DEDC0-F6C0-DF45-86EB-E7731696F9B6}" name="Expiry Date" dataDxfId="74">
      <calculatedColumnFormula>I3+L3</calculatedColumnFormula>
    </tableColumn>
    <tableColumn id="13" xr3:uid="{409AAE2E-BF59-6C48-A656-277E755BB761}" name="Days Left" dataDxfId="73">
      <calculatedColumnFormula>L3-(TODAY()-I3)</calculatedColumnFormula>
    </tableColumn>
    <tableColumn id="14" xr3:uid="{016EC214-AD8E-F442-BA42-029169A81ADA}" name="Status" dataDxfId="72">
      <calculatedColumnFormula>IF(J3="","",
IF(TODAY()&lt;=J3,"Active",
IF(N3&gt;0,"Grace",
IF(N3&gt;-30,"Inactive","Freeze"))))</calculatedColumnFormula>
    </tableColumn>
    <tableColumn id="81" xr3:uid="{F995A100-2145-774A-92F7-D825F71CB463}" name="Fees" dataDxfId="71"/>
    <tableColumn id="15" xr3:uid="{6E106D40-96FB-BF44-A91F-7C67C728265A}" name="Ses Complete " dataDxfId="70">
      <calculatedColumnFormula>COUNTA(T3:CA3)</calculatedColumnFormula>
    </tableColumn>
    <tableColumn id="16" xr3:uid="{67558093-892A-D24C-AA2F-51DA3047095E}" name="Ses Pending " dataDxfId="69">
      <calculatedColumnFormula>K3-Q3</calculatedColumnFormula>
    </tableColumn>
    <tableColumn id="17" xr3:uid="{B363199E-7E60-9549-8DC9-81E28E15B747}" name="Complete/Incomplete" dataDxfId="68">
      <calculatedColumnFormula>IF(Q3&gt;=K3,"Complete","Incomplete")</calculatedColumnFormula>
    </tableColumn>
    <tableColumn id="18" xr3:uid="{1A03CB1E-BD66-1343-AFB5-4089F3CE1E1F}" name="S1" dataDxfId="67"/>
    <tableColumn id="19" xr3:uid="{5A224551-2660-FA4C-B885-4E1FADE753F3}" name="S2" dataDxfId="66"/>
    <tableColumn id="20" xr3:uid="{1CD66A2F-91BB-1C4D-9354-078E82B2984E}" name="S3" dataDxfId="65"/>
    <tableColumn id="21" xr3:uid="{EDA81877-347E-E240-B7F6-1D45C6224E45}" name="S4" dataDxfId="64"/>
    <tableColumn id="22" xr3:uid="{CF609284-047F-0B4C-AD8A-636345F194C6}" name="S5" dataDxfId="63"/>
    <tableColumn id="23" xr3:uid="{D155E4D1-0A00-714C-96E7-EA79474D12EE}" name="S6" dataDxfId="62"/>
    <tableColumn id="24" xr3:uid="{9B410981-3EA7-8A49-BC6D-227DB1779C99}" name="S7" dataDxfId="61"/>
    <tableColumn id="25" xr3:uid="{E47793A8-3BDD-324C-91D5-BB3F702CB99A}" name="S8" dataDxfId="60"/>
    <tableColumn id="26" xr3:uid="{F9A53DE1-D0A0-6548-8AB2-A406A47CBD20}" name="S9" dataDxfId="59"/>
    <tableColumn id="27" xr3:uid="{0269F50B-B8D0-294A-BFBD-AA9D460A7F17}" name="S10" dataDxfId="58"/>
    <tableColumn id="28" xr3:uid="{7EE40E77-C9B1-1542-9843-459B0A9C684D}" name="S11" dataDxfId="57"/>
    <tableColumn id="29" xr3:uid="{7FE7D4E1-237D-CF4F-B7F4-E5C9DEF77DAC}" name="S12" dataDxfId="56"/>
    <tableColumn id="30" xr3:uid="{AAA0B172-72D6-4148-B28C-2BC8A76CB13F}" name="S13" dataDxfId="55"/>
    <tableColumn id="31" xr3:uid="{332D17F9-8EBC-C94D-8D27-B2206622AF79}" name="S14" dataDxfId="54"/>
    <tableColumn id="32" xr3:uid="{A08B3827-346C-F949-8EF0-CA7863FD399E}" name="S15" dataDxfId="53"/>
    <tableColumn id="33" xr3:uid="{9D62066B-0F1B-9F4D-820E-B35DE5335C15}" name="S16" dataDxfId="52"/>
    <tableColumn id="34" xr3:uid="{38E24EF4-3ABC-0B49-BE7D-F2DB2549B764}" name="S17" dataDxfId="51"/>
    <tableColumn id="35" xr3:uid="{A93A5A00-47EE-CC4F-9BAB-8C9FFD15BC0C}" name="S18" dataDxfId="50"/>
    <tableColumn id="36" xr3:uid="{F3F280F9-8314-DB43-BE03-944A5BCC6180}" name="S19" dataDxfId="49"/>
    <tableColumn id="37" xr3:uid="{8DB04C49-8790-4C4B-BFAE-A29B5EAA1D8B}" name="S20" dataDxfId="48"/>
    <tableColumn id="38" xr3:uid="{601EA8D5-1321-B241-A4C1-C7EAC5AC468A}" name="S21" dataDxfId="47"/>
    <tableColumn id="39" xr3:uid="{79F85273-C542-5145-80E3-105796E50A6D}" name="S22" dataDxfId="46"/>
    <tableColumn id="40" xr3:uid="{2E6FFDF2-F660-5A46-8688-0FC12941A1C8}" name="S23" dataDxfId="45"/>
    <tableColumn id="41" xr3:uid="{CA5346EA-297F-2545-A1AF-1E0565465240}" name="S24" dataDxfId="44"/>
    <tableColumn id="42" xr3:uid="{01185FDB-C92D-F041-B101-9354C7C5CE8B}" name="S25" dataDxfId="43"/>
    <tableColumn id="43" xr3:uid="{0DAF24A8-88CF-C641-BD86-9B0818362E3E}" name="S26" dataDxfId="42"/>
    <tableColumn id="44" xr3:uid="{F85BB78B-D01D-9D43-9497-82FC08BBA729}" name="S27" dataDxfId="41"/>
    <tableColumn id="45" xr3:uid="{5732A3AC-23D0-0B45-8B89-D2973E57E72F}" name="S28" dataDxfId="40"/>
    <tableColumn id="46" xr3:uid="{8B0EE829-C767-3340-9808-37C593FABD60}" name="S29" dataDxfId="39"/>
    <tableColumn id="47" xr3:uid="{6208E642-21E8-CC4B-8150-4D3AFB1EC3E5}" name="S30" dataDxfId="38"/>
    <tableColumn id="48" xr3:uid="{CEB2A7D9-FCB4-5140-BF4B-6EAF47BDD8C1}" name="S31" dataDxfId="37"/>
    <tableColumn id="49" xr3:uid="{AC4C1AF8-A523-6D46-BAC2-2D731A7B6046}" name="S32" dataDxfId="36"/>
    <tableColumn id="50" xr3:uid="{BE849C00-6439-4E48-AD51-0FD9336646DB}" name="S33" dataDxfId="35"/>
    <tableColumn id="51" xr3:uid="{04E2EA88-4D08-9743-A8BA-093C687DE189}" name="S34" dataDxfId="34"/>
    <tableColumn id="52" xr3:uid="{20C81DBE-6CFD-E743-83F5-D9281E5D0146}" name="S35" dataDxfId="33"/>
    <tableColumn id="53" xr3:uid="{124B4494-2BB1-DB44-9B3E-DE7BE0F566BC}" name="S36" dataDxfId="32"/>
    <tableColumn id="54" xr3:uid="{414DEB0F-5AC0-E646-B021-36B17DBD56A3}" name="S37" dataDxfId="31"/>
    <tableColumn id="55" xr3:uid="{B33EE404-9890-714C-A038-223C6AF8C93D}" name="S38" dataDxfId="30"/>
    <tableColumn id="56" xr3:uid="{F84529B8-1278-4C4C-BC1D-4FE4D0746D98}" name="S39" dataDxfId="29"/>
    <tableColumn id="57" xr3:uid="{888BE623-8021-EE40-B066-7733307583E8}" name="S40" dataDxfId="28"/>
    <tableColumn id="58" xr3:uid="{5B0102B7-FBCF-3B4E-B51D-2B4CEAACB61B}" name="S41" dataDxfId="27"/>
    <tableColumn id="59" xr3:uid="{5D5511DF-8673-2B47-94CC-1CE4F4A11B47}" name="S42" dataDxfId="26"/>
    <tableColumn id="60" xr3:uid="{6AD51CD2-2AA7-9148-B18C-68341A74FE88}" name="S43" dataDxfId="25"/>
    <tableColumn id="61" xr3:uid="{E45C17B4-C4F0-1548-8A5D-6CB73E67451E}" name="S44" dataDxfId="24"/>
    <tableColumn id="62" xr3:uid="{E9C97075-5C9E-D345-B7B7-0AFA98419D78}" name="S45" dataDxfId="23"/>
    <tableColumn id="63" xr3:uid="{621C575D-7933-F948-8BB2-E586F9599B55}" name="S46" dataDxfId="22"/>
    <tableColumn id="64" xr3:uid="{ACE992DF-50F0-1B42-AA62-96AD4A78854F}" name="S47" dataDxfId="21"/>
    <tableColumn id="65" xr3:uid="{89647845-4E40-C14F-909E-038CDDB614F4}" name="S48" dataDxfId="20"/>
    <tableColumn id="66" xr3:uid="{0149B75A-7F2E-4048-B088-ABA47683A148}" name="S49" dataDxfId="19"/>
    <tableColumn id="67" xr3:uid="{559AEE8D-71B8-7A46-90BB-97E2269A0542}" name="S50" dataDxfId="18"/>
    <tableColumn id="68" xr3:uid="{EAD594A5-B859-E64E-B390-DCF0DF7B4986}" name="S51" dataDxfId="17"/>
    <tableColumn id="69" xr3:uid="{0B9AA905-F98E-EC41-87E4-8DBA9EA5B99A}" name="S52" dataDxfId="16"/>
    <tableColumn id="70" xr3:uid="{07BC0D1D-050E-E141-867E-D500C89B01DA}" name="S53" dataDxfId="15"/>
    <tableColumn id="71" xr3:uid="{01F9F2C5-62A6-9847-B36E-41B317943905}" name="S54" dataDxfId="14"/>
    <tableColumn id="72" xr3:uid="{07CA9458-1DCC-A04B-A6A4-C02DF9D52AC1}" name="S55" dataDxfId="13"/>
    <tableColumn id="73" xr3:uid="{9561CF3D-F1A6-BF46-88B4-91A656EE4242}" name="S56" dataDxfId="12"/>
    <tableColumn id="74" xr3:uid="{492F17FC-135B-F541-BAEE-89F9555E88A4}" name="S57" dataDxfId="11"/>
    <tableColumn id="75" xr3:uid="{E49839F6-9ECC-8742-BF05-70B71BC35AE4}" name="S58" dataDxfId="10"/>
    <tableColumn id="76" xr3:uid="{57F64EF2-53FB-7040-AA8B-6999D1EEC44E}" name="S59" dataDxfId="9"/>
    <tableColumn id="77" xr3:uid="{1EFF0C47-56B8-EA4C-809D-42232770BBB3}" name="S60" dataDxfId="8"/>
    <tableColumn id="78" xr3:uid="{9559E1F8-7D03-4570-B317-CCC69BB6B1A5}" name="S61" dataDxfId="7"/>
    <tableColumn id="80" xr3:uid="{761A0C90-4E4E-FA43-A5B9-B49CF1CA22CC}" name="S62" dataDxfId="6"/>
    <tableColumn id="82" xr3:uid="{D3FFBD32-5385-A748-AE88-980EFAA9AC6D}" name="Message box" dataDxfId="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9" dT="2026-04-11T02:45:28.79" personId="{025D2676-7938-D149-9ACA-CCCB61C897A1}" id="{4C5D14C1-9DBF-0547-A295-D80F02FE6418}">
    <text xml:space="preserve">No plans to renew they will contact in case they wanted to renew </text>
  </threadedComment>
  <threadedComment ref="B100" dT="2026-04-15T14:26:00.95" personId="{025D2676-7938-D149-9ACA-CCCB61C897A1}" id="{1D8648DD-6235-F141-8CEB-FD4761A97800}">
    <text xml:space="preserve">Session will shift to her sister </text>
  </threadedComment>
  <threadedComment ref="B116" dT="2026-05-13T10:40:08.57" personId="{025D2676-7938-D149-9ACA-CCCB61C897A1}" id="{D0846EE7-AEA3-A84F-9673-784580AFA191}">
    <text xml:space="preserve">Freez session from 13 may to 25th may </text>
  </threadedComment>
  <threadedComment ref="B126" dT="2026-04-29T13:27:28.48" personId="{025D2676-7938-D149-9ACA-CCCB61C897A1}" id="{285F37AB-526A-A74D-A85E-42EC5B93337A}">
    <text xml:space="preserve">20th may they will continue remaining session 
</text>
  </threadedComment>
  <threadedComment ref="B158" dT="2026-05-30T13:25:05.54" personId="{025D2676-7938-D149-9ACA-CCCB61C897A1}" id="{7CB5B53D-8B4F-4445-A685-67B8DCB52E0A}">
    <text>1 week freez due to neck problem 
Starting from 30 may to 5 june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6" Type="http://schemas.microsoft.com/office/2019/04/relationships/namedSheetView" Target="../namedSheetViews/namedSheetView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L202"/>
  <sheetViews>
    <sheetView topLeftCell="P1" zoomScale="59" workbookViewId="0">
      <selection activeCell="J3" sqref="J3"/>
    </sheetView>
  </sheetViews>
  <sheetFormatPr defaultColWidth="8.47265625" defaultRowHeight="15" x14ac:dyDescent="0.2"/>
  <cols>
    <col min="1" max="1" width="7.80078125" style="3" customWidth="1"/>
    <col min="2" max="2" width="24.48046875" style="3" bestFit="1" customWidth="1"/>
    <col min="3" max="3" width="14.9296875" style="6" bestFit="1" customWidth="1"/>
    <col min="4" max="4" width="6.9921875" style="3" bestFit="1" customWidth="1"/>
    <col min="5" max="5" width="20.3125" style="3" bestFit="1" customWidth="1"/>
    <col min="6" max="6" width="17.890625" style="3" bestFit="1" customWidth="1"/>
    <col min="7" max="7" width="17.08203125" style="8" bestFit="1" customWidth="1"/>
    <col min="8" max="8" width="17.484375" style="8" bestFit="1" customWidth="1"/>
    <col min="9" max="9" width="12.10546875" style="3" bestFit="1" customWidth="1"/>
    <col min="10" max="10" width="11.1640625" style="3" customWidth="1"/>
    <col min="11" max="11" width="10.76171875" style="8" bestFit="1" customWidth="1"/>
    <col min="12" max="12" width="14.66015625" style="8" bestFit="1" customWidth="1"/>
    <col min="13" max="13" width="13.31640625" style="3" hidden="1" customWidth="1"/>
    <col min="14" max="14" width="11.296875" style="9" bestFit="1" customWidth="1"/>
    <col min="15" max="15" width="8.7421875" style="8" bestFit="1" customWidth="1"/>
    <col min="16" max="16" width="7.6640625" style="8" bestFit="1" customWidth="1"/>
    <col min="17" max="17" width="15.73828125" style="11" bestFit="1" customWidth="1"/>
    <col min="18" max="18" width="14.2578125" style="3" bestFit="1" customWidth="1"/>
    <col min="19" max="19" width="22.734375" style="8" bestFit="1" customWidth="1"/>
    <col min="20" max="21" width="7.53125" style="3" bestFit="1" customWidth="1"/>
    <col min="22" max="22" width="7.6640625" style="3" bestFit="1" customWidth="1"/>
    <col min="23" max="58" width="7.53125" style="3" bestFit="1" customWidth="1"/>
    <col min="59" max="60" width="7.3984375" style="3" bestFit="1" customWidth="1"/>
    <col min="61" max="81" width="6.3203125" style="3" bestFit="1" customWidth="1"/>
    <col min="82" max="82" width="14.66015625" style="3" bestFit="1" customWidth="1"/>
    <col min="83" max="83" width="15.19921875" style="3" bestFit="1" customWidth="1"/>
    <col min="84" max="84" width="16.27734375" style="3" bestFit="1" customWidth="1"/>
    <col min="85" max="85" width="4.16796875" style="3" bestFit="1" customWidth="1"/>
    <col min="86" max="86" width="2.95703125" style="3" customWidth="1"/>
    <col min="87" max="87" width="6.9921875" style="13" bestFit="1" customWidth="1"/>
    <col min="88" max="88" width="12.375" style="3" customWidth="1"/>
    <col min="89" max="89" width="7.53125" style="13" bestFit="1" customWidth="1"/>
    <col min="90" max="90" width="9.953125" style="3" customWidth="1"/>
    <col min="91" max="16384" width="8.47265625" style="3"/>
  </cols>
  <sheetData>
    <row r="2" spans="1:90" s="51" customFormat="1" x14ac:dyDescent="0.2">
      <c r="A2" s="46" t="s">
        <v>0</v>
      </c>
      <c r="B2" s="46" t="s">
        <v>1</v>
      </c>
      <c r="C2" s="47" t="s">
        <v>2</v>
      </c>
      <c r="D2" s="46" t="s">
        <v>3</v>
      </c>
      <c r="E2" s="46" t="s">
        <v>4</v>
      </c>
      <c r="F2" s="46" t="s">
        <v>5</v>
      </c>
      <c r="G2" s="46" t="s">
        <v>6</v>
      </c>
      <c r="H2" s="48" t="s">
        <v>7</v>
      </c>
      <c r="I2" s="46" t="s">
        <v>8</v>
      </c>
      <c r="J2" s="46" t="s">
        <v>9</v>
      </c>
      <c r="K2" s="46" t="s">
        <v>10</v>
      </c>
      <c r="L2" s="46" t="s">
        <v>11</v>
      </c>
      <c r="M2" s="46" t="s">
        <v>12</v>
      </c>
      <c r="N2" s="49" t="s">
        <v>13</v>
      </c>
      <c r="O2" s="46" t="s">
        <v>14</v>
      </c>
      <c r="P2" s="46" t="s">
        <v>15</v>
      </c>
      <c r="Q2" s="50" t="s">
        <v>16</v>
      </c>
      <c r="R2" s="46" t="s">
        <v>17</v>
      </c>
      <c r="S2" s="46" t="s">
        <v>18</v>
      </c>
      <c r="T2" s="46" t="s">
        <v>19</v>
      </c>
      <c r="U2" s="46" t="s">
        <v>20</v>
      </c>
      <c r="V2" s="46" t="s">
        <v>21</v>
      </c>
      <c r="W2" s="46" t="s">
        <v>22</v>
      </c>
      <c r="X2" s="46" t="s">
        <v>23</v>
      </c>
      <c r="Y2" s="46" t="s">
        <v>24</v>
      </c>
      <c r="Z2" s="46" t="s">
        <v>25</v>
      </c>
      <c r="AA2" s="46" t="s">
        <v>26</v>
      </c>
      <c r="AB2" s="46" t="s">
        <v>27</v>
      </c>
      <c r="AC2" s="46" t="s">
        <v>28</v>
      </c>
      <c r="AD2" s="46" t="s">
        <v>29</v>
      </c>
      <c r="AE2" s="46" t="s">
        <v>30</v>
      </c>
      <c r="AF2" s="46" t="s">
        <v>31</v>
      </c>
      <c r="AG2" s="46" t="s">
        <v>32</v>
      </c>
      <c r="AH2" s="46" t="s">
        <v>33</v>
      </c>
      <c r="AI2" s="46" t="s">
        <v>34</v>
      </c>
      <c r="AJ2" s="46" t="s">
        <v>35</v>
      </c>
      <c r="AK2" s="46" t="s">
        <v>36</v>
      </c>
      <c r="AL2" s="46" t="s">
        <v>37</v>
      </c>
      <c r="AM2" s="46" t="s">
        <v>38</v>
      </c>
      <c r="AN2" s="46" t="s">
        <v>39</v>
      </c>
      <c r="AO2" s="46" t="s">
        <v>40</v>
      </c>
      <c r="AP2" s="46" t="s">
        <v>41</v>
      </c>
      <c r="AQ2" s="46" t="s">
        <v>42</v>
      </c>
      <c r="AR2" s="46" t="s">
        <v>43</v>
      </c>
      <c r="AS2" s="46" t="s">
        <v>44</v>
      </c>
      <c r="AT2" s="46" t="s">
        <v>45</v>
      </c>
      <c r="AU2" s="46" t="s">
        <v>46</v>
      </c>
      <c r="AV2" s="46" t="s">
        <v>47</v>
      </c>
      <c r="AW2" s="46" t="s">
        <v>48</v>
      </c>
      <c r="AX2" s="46" t="s">
        <v>49</v>
      </c>
      <c r="AY2" s="46" t="s">
        <v>50</v>
      </c>
      <c r="AZ2" s="46" t="s">
        <v>51</v>
      </c>
      <c r="BA2" s="46" t="s">
        <v>52</v>
      </c>
      <c r="BB2" s="46" t="s">
        <v>53</v>
      </c>
      <c r="BC2" s="46" t="s">
        <v>54</v>
      </c>
      <c r="BD2" s="46" t="s">
        <v>55</v>
      </c>
      <c r="BE2" s="46" t="s">
        <v>56</v>
      </c>
      <c r="BF2" s="46" t="s">
        <v>57</v>
      </c>
      <c r="BG2" s="46" t="s">
        <v>58</v>
      </c>
      <c r="BH2" s="46" t="s">
        <v>59</v>
      </c>
      <c r="BI2" s="46" t="s">
        <v>60</v>
      </c>
      <c r="BJ2" s="46" t="s">
        <v>61</v>
      </c>
      <c r="BK2" s="46" t="s">
        <v>62</v>
      </c>
      <c r="BL2" s="46" t="s">
        <v>63</v>
      </c>
      <c r="BM2" s="46" t="s">
        <v>64</v>
      </c>
      <c r="BN2" s="46" t="s">
        <v>65</v>
      </c>
      <c r="BO2" s="46" t="s">
        <v>66</v>
      </c>
      <c r="BP2" s="46" t="s">
        <v>67</v>
      </c>
      <c r="BQ2" s="46" t="s">
        <v>68</v>
      </c>
      <c r="BR2" s="46" t="s">
        <v>69</v>
      </c>
      <c r="BS2" s="46" t="s">
        <v>70</v>
      </c>
      <c r="BT2" s="46" t="s">
        <v>71</v>
      </c>
      <c r="BU2" s="46" t="s">
        <v>72</v>
      </c>
      <c r="BV2" s="46" t="s">
        <v>73</v>
      </c>
      <c r="BW2" s="46" t="s">
        <v>74</v>
      </c>
      <c r="BX2" s="46" t="s">
        <v>75</v>
      </c>
      <c r="BY2" s="46" t="s">
        <v>76</v>
      </c>
      <c r="BZ2" s="46" t="s">
        <v>77</v>
      </c>
      <c r="CA2" s="46" t="s">
        <v>78</v>
      </c>
      <c r="CB2" s="46" t="s">
        <v>79</v>
      </c>
      <c r="CC2" s="46" t="s">
        <v>80</v>
      </c>
      <c r="CD2" s="46" t="s">
        <v>81</v>
      </c>
      <c r="CE2" s="46"/>
      <c r="CF2" s="50" t="s">
        <v>82</v>
      </c>
      <c r="CI2" s="4" t="s">
        <v>83</v>
      </c>
      <c r="CJ2" s="52">
        <f>SUM(CJ3:CJ201)</f>
        <v>468392</v>
      </c>
      <c r="CK2" s="53">
        <f ca="1">TODAY()</f>
        <v>46173</v>
      </c>
      <c r="CL2" s="54">
        <f ca="1">SUM(CL3:CL201)</f>
        <v>208791.06451612894</v>
      </c>
    </row>
    <row r="3" spans="1:90" x14ac:dyDescent="0.2">
      <c r="A3" s="58">
        <v>1</v>
      </c>
      <c r="B3" s="58" t="s">
        <v>84</v>
      </c>
      <c r="C3" s="6">
        <v>42195</v>
      </c>
      <c r="D3" s="3">
        <f ca="1">DATEDIF(C3,TODAY(),"Y") + DATEDIF(C3,TODAY(),"YM")/10</f>
        <v>11</v>
      </c>
      <c r="E3" s="58" t="s">
        <v>85</v>
      </c>
      <c r="F3" s="3">
        <v>9923753220</v>
      </c>
      <c r="G3" s="7">
        <v>45943</v>
      </c>
      <c r="H3" s="7" t="str">
        <f ca="1">DATEDIF(G3,TODAY(),"M") &amp; " Months"</f>
        <v>7 Months</v>
      </c>
      <c r="I3" s="4">
        <v>46146</v>
      </c>
      <c r="J3" s="4">
        <f>EDATE(I3,3)</f>
        <v>46238</v>
      </c>
      <c r="K3" s="8">
        <v>60</v>
      </c>
      <c r="L3" s="8">
        <v>120</v>
      </c>
      <c r="M3" s="3">
        <f>I3+L3</f>
        <v>46266</v>
      </c>
      <c r="N3" s="9">
        <f ca="1">L3-(TODAY()-I3)</f>
        <v>93</v>
      </c>
      <c r="O3" s="8" t="str">
        <f ca="1">IF(J3="","",
IF(TODAY()&lt;=J3,"Active",
IF(N3&gt;0,"Grace",
IF(N3&gt;-30,"Inactive","Freeze"))))</f>
        <v>Active</v>
      </c>
      <c r="P3" s="10">
        <v>11880</v>
      </c>
      <c r="Q3" s="11">
        <f>COUNTA(T3:CA3)</f>
        <v>20</v>
      </c>
      <c r="R3" s="3">
        <f>K3-Q3</f>
        <v>40</v>
      </c>
      <c r="S3" s="8" t="str">
        <f>IF(Q3&gt;=K3,"Complete","Incomplete")</f>
        <v>Incomplete</v>
      </c>
      <c r="T3" s="14">
        <v>46146</v>
      </c>
      <c r="U3" s="14">
        <v>46147</v>
      </c>
      <c r="V3" s="14">
        <v>46148</v>
      </c>
      <c r="W3" s="14">
        <v>46149</v>
      </c>
      <c r="X3" s="14">
        <v>46150</v>
      </c>
      <c r="Y3" s="14">
        <v>46151</v>
      </c>
      <c r="Z3" s="14">
        <v>46154</v>
      </c>
      <c r="AA3" s="14">
        <v>46155</v>
      </c>
      <c r="AB3" s="14">
        <v>46156</v>
      </c>
      <c r="AC3" s="14">
        <v>46157</v>
      </c>
      <c r="AD3" s="14">
        <v>46158</v>
      </c>
      <c r="AE3" s="14">
        <v>46160</v>
      </c>
      <c r="AF3" s="14">
        <v>46161</v>
      </c>
      <c r="AG3" s="14">
        <v>46163</v>
      </c>
      <c r="AH3" s="14">
        <v>46164</v>
      </c>
      <c r="AI3" s="14">
        <v>46165</v>
      </c>
      <c r="AJ3" s="14">
        <v>46167</v>
      </c>
      <c r="AK3" s="14">
        <v>46168</v>
      </c>
      <c r="AL3" s="14">
        <v>46169</v>
      </c>
      <c r="AM3" s="14">
        <v>46171</v>
      </c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7"/>
      <c r="BY3" s="14"/>
      <c r="BZ3" s="14"/>
      <c r="CA3" s="14"/>
      <c r="CB3" s="14"/>
      <c r="CC3" s="14"/>
      <c r="CF3" s="2" t="s">
        <v>86</v>
      </c>
      <c r="CG3" s="12">
        <f ca="1">CG4+CG5+CG6</f>
        <v>172</v>
      </c>
      <c r="CI3" s="4" t="str">
        <f>IF(OR(I3="",J3=""),"",
IF(J3-I3&lt;=31,"1",
IF(J3-I3&lt;=93,"3","")))</f>
        <v>3</v>
      </c>
      <c r="CJ3" s="13">
        <f>IF(OR(P3="",CI3=""),"",P3/CI3)</f>
        <v>3960</v>
      </c>
      <c r="CK3" s="5">
        <f ca="1">CK2</f>
        <v>46173</v>
      </c>
      <c r="CL3" s="13">
        <f ca="1">IF(OR(I3="",J3="",CJ3="",CK3=""),"",
IF(AND(J3&gt;=EOMONTH(CK3,-1)+1,I3&lt;=EOMONTH(CK3,0)),
CJ3*
(MAX(0,MIN(J3,EOMONTH(CK3,0)) - MAX(I3,EOMONTH(CK3,-1)+1) + 1)
/
DAY(EOMONTH(CK3,0))
),
0))</f>
        <v>3576.7741935483868</v>
      </c>
    </row>
    <row r="4" spans="1:90" x14ac:dyDescent="0.2">
      <c r="A4" s="58">
        <v>2</v>
      </c>
      <c r="B4" s="58" t="s">
        <v>87</v>
      </c>
      <c r="C4" s="6">
        <v>43957</v>
      </c>
      <c r="D4" s="3">
        <f ca="1">DATEDIF(C4,TODAY(),"Y") + DATEDIF(C4,TODAY(),"YM")/10</f>
        <v>6</v>
      </c>
      <c r="E4" s="58" t="s">
        <v>88</v>
      </c>
      <c r="F4" s="3">
        <v>9595951931</v>
      </c>
      <c r="G4" s="7">
        <v>45937</v>
      </c>
      <c r="H4" s="7" t="str">
        <f ca="1">DATEDIF(G4,TODAY(),"M") &amp; " Months"</f>
        <v>7 Months</v>
      </c>
      <c r="I4" s="4">
        <v>45937</v>
      </c>
      <c r="J4" s="4">
        <f>EDATE(I4,1)</f>
        <v>45968</v>
      </c>
      <c r="K4" s="8">
        <v>12</v>
      </c>
      <c r="L4" s="8">
        <v>36</v>
      </c>
      <c r="M4" s="3">
        <f>I4+L4</f>
        <v>45973</v>
      </c>
      <c r="N4" s="9">
        <f ca="1">L4-(TODAY()-I4)</f>
        <v>-200</v>
      </c>
      <c r="O4" s="8" t="str">
        <f ca="1">IF(J4="","",
IF(TODAY()&lt;=J4,"Active",
IF(N4&gt;0,"Grace",
IF(N4&gt;-30,"Inactive","Freeze"))))</f>
        <v>Freeze</v>
      </c>
      <c r="P4" s="10">
        <v>3200</v>
      </c>
      <c r="Q4" s="11">
        <f>COUNTA(T4:CA4)</f>
        <v>0</v>
      </c>
      <c r="R4" s="3">
        <f>K4-Q4</f>
        <v>12</v>
      </c>
      <c r="S4" s="8" t="str">
        <f>IF(Q4&gt;=K4,"Complete","Incomplete")</f>
        <v>Incomplete</v>
      </c>
      <c r="CF4" s="2" t="s">
        <v>89</v>
      </c>
      <c r="CG4" s="15">
        <f ca="1">COUNTIF(O3:O1001,"Active") + COUNTIF(O3:O1001,"Grace")</f>
        <v>72</v>
      </c>
      <c r="CI4" s="4" t="str">
        <f t="shared" ref="CI4:CI67" si="0">IF(OR(I4="",J4=""),"",
IF(J4-I4&lt;=31,"1",
IF(J4-I4&lt;=93,"3","")))</f>
        <v>1</v>
      </c>
      <c r="CJ4" s="13">
        <f>IF(OR(P4="",CI4=""),"",P4/CI4)</f>
        <v>3200</v>
      </c>
      <c r="CK4" s="5">
        <f t="shared" ref="CK4:CK67" ca="1" si="1">CK3</f>
        <v>46173</v>
      </c>
      <c r="CL4" s="13">
        <f ca="1">IF(OR(I4="",J4="",CJ4="",CK4=""),"",
IF(AND(J4&gt;=EOMONTH(CK4,-1)+1,I4&lt;=EOMONTH(CK4,0)),
CJ4*
(MAX(0,MIN(J4,EOMONTH(CK4,0)) - MAX(I4,EOMONTH(CK4,-1)+1) + 1)
/
DAY(EOMONTH(CK4,0))
),
0))</f>
        <v>0</v>
      </c>
    </row>
    <row r="5" spans="1:90" x14ac:dyDescent="0.2">
      <c r="A5" s="58">
        <v>3</v>
      </c>
      <c r="B5" s="58" t="s">
        <v>90</v>
      </c>
      <c r="C5" s="6">
        <v>41815</v>
      </c>
      <c r="D5" s="3">
        <f ca="1">DATEDIF(C5,TODAY(),"Y") + DATEDIF(C5,TODAY(),"YM")/10</f>
        <v>12.1</v>
      </c>
      <c r="E5" s="58" t="s">
        <v>91</v>
      </c>
      <c r="F5" s="3">
        <v>9767560623</v>
      </c>
      <c r="G5" s="7">
        <v>45936</v>
      </c>
      <c r="H5" s="7" t="str">
        <f ca="1">DATEDIF(G5,TODAY(),"M") &amp; " Months"</f>
        <v>7 Months</v>
      </c>
      <c r="I5" s="4">
        <v>45936</v>
      </c>
      <c r="J5" s="4">
        <f>EDATE(I5,1)</f>
        <v>45967</v>
      </c>
      <c r="K5" s="8">
        <v>12</v>
      </c>
      <c r="L5" s="8">
        <v>36</v>
      </c>
      <c r="M5" s="3">
        <f>I5+L5</f>
        <v>45972</v>
      </c>
      <c r="N5" s="9">
        <f ca="1">L5-(TODAY()-I5)</f>
        <v>-201</v>
      </c>
      <c r="O5" s="8" t="str">
        <f ca="1">IF(J5="","",
IF(TODAY()&lt;=J5,"Active",
IF(N5&gt;0,"Grace",
IF(N5&gt;-30,"Inactive","Freeze"))))</f>
        <v>Freeze</v>
      </c>
      <c r="P5" s="10">
        <v>3200</v>
      </c>
      <c r="Q5" s="11">
        <f>COUNTA(T5:CA5)</f>
        <v>0</v>
      </c>
      <c r="R5" s="3">
        <f>K5-Q5</f>
        <v>12</v>
      </c>
      <c r="S5" s="8" t="str">
        <f>IF(Q5&gt;=K5,"Complete","Incomplete")</f>
        <v>Incomplete</v>
      </c>
      <c r="CF5" s="2" t="s">
        <v>92</v>
      </c>
      <c r="CG5" s="21">
        <f ca="1">COUNTIF(O3:O1001,"Inactive")</f>
        <v>43</v>
      </c>
      <c r="CI5" s="4" t="str">
        <f t="shared" si="0"/>
        <v>1</v>
      </c>
      <c r="CJ5" s="13">
        <f>IF(OR(P5="",CI5=""),"",P5/CI5)</f>
        <v>3200</v>
      </c>
      <c r="CK5" s="5">
        <f t="shared" ca="1" si="1"/>
        <v>46173</v>
      </c>
      <c r="CL5" s="13">
        <f ca="1">IF(OR(I5="",J5="",CJ5="",CK5=""),"",
IF(AND(J5&gt;=EOMONTH(CK5,-1)+1,I5&lt;=EOMONTH(CK5,0)),
CJ5*
(MAX(0,MIN(J5,EOMONTH(CK5,0)) - MAX(I5,EOMONTH(CK5,-1)+1) + 1)
/
DAY(EOMONTH(CK5,0))
),
0))</f>
        <v>0</v>
      </c>
    </row>
    <row r="6" spans="1:90" x14ac:dyDescent="0.2">
      <c r="A6" s="58">
        <v>4</v>
      </c>
      <c r="B6" s="58" t="s">
        <v>93</v>
      </c>
      <c r="C6" s="6">
        <v>43497</v>
      </c>
      <c r="D6" s="3">
        <f ca="1">DATEDIF(C6,TODAY(),"Y") + DATEDIF(C6,TODAY(),"YM")/10</f>
        <v>7.3</v>
      </c>
      <c r="E6" s="58" t="s">
        <v>94</v>
      </c>
      <c r="F6" s="3">
        <v>9980568842</v>
      </c>
      <c r="G6" s="7">
        <v>45951</v>
      </c>
      <c r="H6" s="7" t="str">
        <f ca="1">DATEDIF(G6,TODAY(),"M") &amp; " Months"</f>
        <v>7 Months</v>
      </c>
      <c r="I6" s="4">
        <v>45921</v>
      </c>
      <c r="J6" s="4">
        <f>EDATE(I6,3)</f>
        <v>46012</v>
      </c>
      <c r="K6" s="8">
        <v>36</v>
      </c>
      <c r="L6" s="8">
        <v>108</v>
      </c>
      <c r="M6" s="3">
        <f>I6+L6</f>
        <v>46029</v>
      </c>
      <c r="N6" s="9">
        <f ca="1">L6-(TODAY()-I6)</f>
        <v>-144</v>
      </c>
      <c r="O6" s="8" t="str">
        <f ca="1">IF(J6="","",
IF(TODAY()&lt;=J6,"Active",
IF(N6&gt;0,"Grace",
IF(N6&gt;-30,"Inactive","Freeze"))))</f>
        <v>Freeze</v>
      </c>
      <c r="P6" s="10">
        <v>8640</v>
      </c>
      <c r="Q6" s="11">
        <f>COUNTA(T6:CA6)</f>
        <v>0</v>
      </c>
      <c r="R6" s="3">
        <f>K6-Q6</f>
        <v>36</v>
      </c>
      <c r="S6" s="8" t="str">
        <f>IF(Q6&gt;=K6,"Complete","Incomplete")</f>
        <v>Incomplete</v>
      </c>
      <c r="CF6" s="2" t="s">
        <v>95</v>
      </c>
      <c r="CG6" s="16">
        <f ca="1">COUNTIF(O3:INDEX(O:O,COUNTA(B:B)+1),"Freeze")</f>
        <v>57</v>
      </c>
      <c r="CI6" s="4" t="str">
        <f t="shared" si="0"/>
        <v>3</v>
      </c>
      <c r="CJ6" s="13">
        <f>IF(OR(P6="",CI6=""),"",P6/CI6)</f>
        <v>2880</v>
      </c>
      <c r="CK6" s="5">
        <f t="shared" ca="1" si="1"/>
        <v>46173</v>
      </c>
      <c r="CL6" s="13">
        <f ca="1">IF(OR(I6="",J6="",CJ6="",CK6=""),"",
IF(AND(J6&gt;=EOMONTH(CK6,-1)+1,I6&lt;=EOMONTH(CK6,0)),
CJ6*
(MAX(0,MIN(J6,EOMONTH(CK6,0)) - MAX(I6,EOMONTH(CK6,-1)+1) + 1)
/
DAY(EOMONTH(CK6,0))
),
0))</f>
        <v>0</v>
      </c>
    </row>
    <row r="7" spans="1:90" x14ac:dyDescent="0.2">
      <c r="A7" s="58">
        <v>5</v>
      </c>
      <c r="B7" s="58" t="s">
        <v>96</v>
      </c>
      <c r="C7" s="6">
        <v>42586</v>
      </c>
      <c r="D7" s="3">
        <f ca="1">DATEDIF(C7,TODAY(),"Y") + DATEDIF(C7,TODAY(),"YM")/10</f>
        <v>9.9</v>
      </c>
      <c r="E7" s="58" t="s">
        <v>97</v>
      </c>
      <c r="F7" s="3">
        <v>9766927639</v>
      </c>
      <c r="H7" s="7" t="str">
        <f ca="1">DATEDIF(G7,TODAY(),"M") &amp; " Months"</f>
        <v>1516 Months</v>
      </c>
      <c r="I7" s="4">
        <v>45985</v>
      </c>
      <c r="J7" s="4">
        <f>EDATE(I7,1)</f>
        <v>46015</v>
      </c>
      <c r="M7" s="3">
        <f>I7+L7</f>
        <v>45985</v>
      </c>
      <c r="N7" s="9">
        <f ca="1">L7-(TODAY()-I7)</f>
        <v>-188</v>
      </c>
      <c r="O7" s="8" t="str">
        <f ca="1">IF(J7="","",
IF(TODAY()&lt;=J7,"Active",
IF(N7&gt;0,"Grace",
IF(N7&gt;-30,"Inactive","Freeze"))))</f>
        <v>Freeze</v>
      </c>
      <c r="P7" s="10"/>
      <c r="Q7" s="11">
        <f>COUNTA(T7:CA7)</f>
        <v>10</v>
      </c>
      <c r="R7" s="3">
        <f>K7-Q7</f>
        <v>-10</v>
      </c>
      <c r="S7" s="8" t="str">
        <f>IF(Q7&gt;=K7,"Complete","Incomplete")</f>
        <v>Complete</v>
      </c>
      <c r="T7" s="14">
        <v>46350</v>
      </c>
      <c r="U7" s="3" t="s">
        <v>98</v>
      </c>
      <c r="V7" s="3" t="s">
        <v>98</v>
      </c>
      <c r="W7" s="3" t="s">
        <v>98</v>
      </c>
      <c r="X7" s="3" t="s">
        <v>98</v>
      </c>
      <c r="Y7" s="3" t="s">
        <v>98</v>
      </c>
      <c r="Z7" s="3" t="s">
        <v>98</v>
      </c>
      <c r="AA7" s="3" t="s">
        <v>98</v>
      </c>
      <c r="AB7" s="3" t="s">
        <v>98</v>
      </c>
      <c r="AC7" s="3" t="s">
        <v>98</v>
      </c>
      <c r="CF7" s="3" t="s">
        <v>99</v>
      </c>
      <c r="CI7" s="4" t="str">
        <f t="shared" si="0"/>
        <v>1</v>
      </c>
      <c r="CJ7" s="13" t="str">
        <f>IF(OR(P7="",CI7=""),"",P7/CI7)</f>
        <v/>
      </c>
      <c r="CK7" s="5">
        <f t="shared" ca="1" si="1"/>
        <v>46173</v>
      </c>
      <c r="CL7" s="13" t="str">
        <f ca="1">IF(OR(I7="",J7="",CJ7="",CK7=""),"",
IF(AND(J7&gt;=EOMONTH(CK7,-1)+1,I7&lt;=EOMONTH(CK7,0)),
CJ7*
(MAX(0,MIN(J7,EOMONTH(CK7,0)) - MAX(I7,EOMONTH(CK7,-1)+1) + 1)
/
DAY(EOMONTH(CK7,0))
),
0))</f>
        <v/>
      </c>
    </row>
    <row r="8" spans="1:90" x14ac:dyDescent="0.2">
      <c r="A8" s="58">
        <v>6</v>
      </c>
      <c r="B8" s="58" t="s">
        <v>100</v>
      </c>
      <c r="C8" s="6">
        <v>44419</v>
      </c>
      <c r="D8" s="3">
        <f ca="1">DATEDIF(C8,TODAY(),"Y") + DATEDIF(C8,TODAY(),"YM")/10</f>
        <v>4.9000000000000004</v>
      </c>
      <c r="E8" s="58" t="s">
        <v>101</v>
      </c>
      <c r="F8" s="3">
        <v>9028904657</v>
      </c>
      <c r="G8" s="7">
        <v>45922</v>
      </c>
      <c r="H8" s="7" t="str">
        <f ca="1">DATEDIF(G8,TODAY(),"M") &amp; " Months"</f>
        <v>8 Months</v>
      </c>
      <c r="I8" s="4">
        <v>45922</v>
      </c>
      <c r="J8" s="4">
        <f>EDATE(I8,3)</f>
        <v>46013</v>
      </c>
      <c r="K8" s="8">
        <v>36</v>
      </c>
      <c r="L8" s="8">
        <v>108</v>
      </c>
      <c r="M8" s="3">
        <f>I8+L8</f>
        <v>46030</v>
      </c>
      <c r="N8" s="9">
        <f ca="1">L8-(TODAY()-I8)</f>
        <v>-143</v>
      </c>
      <c r="O8" s="8" t="str">
        <f ca="1">IF(J8="","",
IF(TODAY()&lt;=J8,"Active",
IF(N8&gt;0,"Grace",
IF(N8&gt;-30,"Inactive","Freeze"))))</f>
        <v>Freeze</v>
      </c>
      <c r="P8" s="10">
        <v>8640</v>
      </c>
      <c r="Q8" s="11">
        <f>COUNTA(T8:CA8)</f>
        <v>0</v>
      </c>
      <c r="R8" s="3">
        <f>K8-Q8</f>
        <v>36</v>
      </c>
      <c r="S8" s="8" t="str">
        <f>IF(Q8&gt;=K8,"Complete","Incomplete")</f>
        <v>Incomplete</v>
      </c>
      <c r="CI8" s="4" t="str">
        <f t="shared" si="0"/>
        <v>3</v>
      </c>
      <c r="CJ8" s="13">
        <f>IF(OR(P8="",CI8=""),"",P8/CI8)</f>
        <v>2880</v>
      </c>
      <c r="CK8" s="5">
        <f t="shared" ca="1" si="1"/>
        <v>46173</v>
      </c>
      <c r="CL8" s="13">
        <f ca="1">IF(OR(I8="",J8="",CJ8="",CK8=""),"",
IF(AND(J8&gt;=EOMONTH(CK8,-1)+1,I8&lt;=EOMONTH(CK8,0)),
CJ8*
(MAX(0,MIN(J8,EOMONTH(CK8,0)) - MAX(I8,EOMONTH(CK8,-1)+1) + 1)
/
DAY(EOMONTH(CK8,0))
),
0))</f>
        <v>0</v>
      </c>
    </row>
    <row r="9" spans="1:90" x14ac:dyDescent="0.2">
      <c r="A9" s="58">
        <v>7</v>
      </c>
      <c r="B9" s="58" t="s">
        <v>102</v>
      </c>
      <c r="C9" s="6">
        <v>44165</v>
      </c>
      <c r="D9" s="3">
        <f ca="1">DATEDIF(C9,TODAY(),"Y") + DATEDIF(C9,TODAY(),"YM")/10</f>
        <v>5.6</v>
      </c>
      <c r="E9" s="58" t="s">
        <v>103</v>
      </c>
      <c r="F9" s="3">
        <v>9940372418</v>
      </c>
      <c r="G9" s="7">
        <v>45965</v>
      </c>
      <c r="H9" s="7" t="str">
        <f ca="1">DATEDIF(G9,TODAY(),"M") &amp; " Months"</f>
        <v>6 Months</v>
      </c>
      <c r="I9" s="4">
        <v>45965</v>
      </c>
      <c r="J9" s="4">
        <f>EDATE(I9,3)</f>
        <v>46057</v>
      </c>
      <c r="K9" s="8">
        <v>36</v>
      </c>
      <c r="L9" s="8">
        <v>108</v>
      </c>
      <c r="M9" s="3">
        <f>I9+L9</f>
        <v>46073</v>
      </c>
      <c r="N9" s="9">
        <f ca="1">L9-(TODAY()-I9)</f>
        <v>-100</v>
      </c>
      <c r="O9" s="8" t="str">
        <f ca="1">IF(J9="","",
IF(TODAY()&lt;=J9,"Active",
IF(N9&gt;0,"Grace",
IF(N9&gt;-30,"Inactive","Freeze"))))</f>
        <v>Freeze</v>
      </c>
      <c r="P9" s="10">
        <v>8640</v>
      </c>
      <c r="Q9" s="11">
        <f>COUNTA(T9:CA9)</f>
        <v>0</v>
      </c>
      <c r="R9" s="3">
        <f>K9-Q9</f>
        <v>36</v>
      </c>
      <c r="S9" s="8" t="str">
        <f>IF(Q9&gt;=K9,"Complete","Incomplete")</f>
        <v>Incomplete</v>
      </c>
      <c r="CI9" s="4" t="str">
        <f t="shared" si="0"/>
        <v>3</v>
      </c>
      <c r="CJ9" s="13">
        <f>IF(OR(P9="",CI9=""),"",P9/CI9)</f>
        <v>2880</v>
      </c>
      <c r="CK9" s="5">
        <f t="shared" ca="1" si="1"/>
        <v>46173</v>
      </c>
      <c r="CL9" s="13">
        <f ca="1">IF(OR(I9="",J9="",CJ9="",CK9=""),"",
IF(AND(J9&gt;=EOMONTH(CK9,-1)+1,I9&lt;=EOMONTH(CK9,0)),
CJ9*
(MAX(0,MIN(J9,EOMONTH(CK9,0)) - MAX(I9,EOMONTH(CK9,-1)+1) + 1)
/
DAY(EOMONTH(CK9,0))
),
0))</f>
        <v>0</v>
      </c>
    </row>
    <row r="10" spans="1:90" x14ac:dyDescent="0.2">
      <c r="A10" s="58">
        <v>8</v>
      </c>
      <c r="B10" s="58" t="s">
        <v>104</v>
      </c>
      <c r="C10" s="6">
        <v>42146</v>
      </c>
      <c r="D10" s="3">
        <f ca="1">DATEDIF(C10,TODAY(),"Y") + DATEDIF(C10,TODAY(),"YM")/10</f>
        <v>11</v>
      </c>
      <c r="E10" s="58" t="s">
        <v>105</v>
      </c>
      <c r="F10" s="3">
        <v>8956840619</v>
      </c>
      <c r="G10" s="7">
        <v>45894</v>
      </c>
      <c r="H10" s="7" t="str">
        <f ca="1">DATEDIF(G10,TODAY(),"M") &amp; " Months"</f>
        <v>9 Months</v>
      </c>
      <c r="I10" s="4">
        <v>46154</v>
      </c>
      <c r="J10" s="4">
        <f>EDATE(I10,1)</f>
        <v>46185</v>
      </c>
      <c r="K10" s="8">
        <v>20</v>
      </c>
      <c r="L10" s="8">
        <v>38</v>
      </c>
      <c r="M10" s="3">
        <f>I10+L10</f>
        <v>46192</v>
      </c>
      <c r="N10" s="9">
        <f ca="1">L10-(TODAY()-I10)</f>
        <v>19</v>
      </c>
      <c r="O10" s="8" t="str">
        <f ca="1">IF(J10="","",
IF(TODAY()&lt;=J10,"Active",
IF(N10&gt;0,"Grace",
IF(N10&gt;-30,"Inactive","Freeze"))))</f>
        <v>Active</v>
      </c>
      <c r="P10" s="10">
        <v>4400</v>
      </c>
      <c r="Q10" s="11">
        <f>COUNTA(T10:CA10)</f>
        <v>8</v>
      </c>
      <c r="R10" s="3">
        <f>K10-Q10</f>
        <v>12</v>
      </c>
      <c r="S10" s="8" t="str">
        <f>IF(Q10&gt;=K10,"Complete","Incomplete")</f>
        <v>Incomplete</v>
      </c>
      <c r="T10" s="14">
        <v>46154</v>
      </c>
      <c r="U10" s="14">
        <v>46155</v>
      </c>
      <c r="V10" s="14">
        <v>46156</v>
      </c>
      <c r="W10" s="14">
        <v>46161</v>
      </c>
      <c r="X10" s="14">
        <v>46163</v>
      </c>
      <c r="Y10" s="14">
        <v>46167</v>
      </c>
      <c r="Z10" s="14">
        <v>46168</v>
      </c>
      <c r="AA10" s="14">
        <v>46171</v>
      </c>
      <c r="CI10" s="4" t="str">
        <f t="shared" si="0"/>
        <v>1</v>
      </c>
      <c r="CJ10" s="13">
        <f>IF(OR(P10="",CI10=""),"",P10/CI10)</f>
        <v>4400</v>
      </c>
      <c r="CK10" s="5">
        <f t="shared" ca="1" si="1"/>
        <v>46173</v>
      </c>
      <c r="CL10" s="13">
        <f ca="1">IF(OR(I10="",J10="",CJ10="",CK10=""),"",
IF(AND(J10&gt;=EOMONTH(CK10,-1)+1,I10&lt;=EOMONTH(CK10,0)),
CJ10*
(MAX(0,MIN(J10,EOMONTH(CK10,0)) - MAX(I10,EOMONTH(CK10,-1)+1) + 1)
/
DAY(EOMONTH(CK10,0))
),
0))</f>
        <v>2838.7096774193546</v>
      </c>
    </row>
    <row r="11" spans="1:90" x14ac:dyDescent="0.2">
      <c r="A11" s="58">
        <v>9</v>
      </c>
      <c r="B11" s="58" t="s">
        <v>106</v>
      </c>
      <c r="C11" s="6">
        <v>44329</v>
      </c>
      <c r="D11" s="3">
        <f ca="1">DATEDIF(C11,TODAY(),"Y") + DATEDIF(C11,TODAY(),"YM")/10</f>
        <v>5</v>
      </c>
      <c r="E11" s="58" t="s">
        <v>107</v>
      </c>
      <c r="F11" s="3">
        <v>9713870097</v>
      </c>
      <c r="G11" s="7">
        <v>45986</v>
      </c>
      <c r="H11" s="7" t="str">
        <f ca="1">DATEDIF(G11,TODAY(),"M") &amp; " Months"</f>
        <v>6 Months</v>
      </c>
      <c r="I11" s="4">
        <v>45986</v>
      </c>
      <c r="J11" s="4">
        <f>EDATE(I11,1)</f>
        <v>46016</v>
      </c>
      <c r="M11" s="3">
        <f>I11+L11</f>
        <v>45986</v>
      </c>
      <c r="N11" s="9">
        <f ca="1">L11-(TODAY()-I11)</f>
        <v>-187</v>
      </c>
      <c r="O11" s="8" t="str">
        <f ca="1">IF(J11="","",
IF(TODAY()&lt;=J11,"Active",
IF(N11&gt;0,"Grace",
IF(N11&gt;-30,"Inactive","Freeze"))))</f>
        <v>Freeze</v>
      </c>
      <c r="P11" s="10"/>
      <c r="Q11" s="11">
        <f>COUNTA(T11:CA11)</f>
        <v>6</v>
      </c>
      <c r="R11" s="3">
        <f>K11-Q11</f>
        <v>-6</v>
      </c>
      <c r="S11" s="8" t="str">
        <f>IF(Q11&gt;=K11,"Complete","Incomplete")</f>
        <v>Complete</v>
      </c>
      <c r="T11" s="14">
        <v>46351</v>
      </c>
      <c r="U11" s="3" t="s">
        <v>98</v>
      </c>
      <c r="V11" s="3" t="s">
        <v>98</v>
      </c>
      <c r="W11" s="3" t="s">
        <v>98</v>
      </c>
      <c r="X11" s="3" t="s">
        <v>98</v>
      </c>
      <c r="Y11" s="3" t="s">
        <v>98</v>
      </c>
      <c r="CI11" s="4" t="str">
        <f t="shared" si="0"/>
        <v>1</v>
      </c>
      <c r="CJ11" s="13" t="str">
        <f>IF(OR(P11="",CI11=""),"",P11/CI11)</f>
        <v/>
      </c>
      <c r="CK11" s="5">
        <f t="shared" ca="1" si="1"/>
        <v>46173</v>
      </c>
      <c r="CL11" s="13" t="str">
        <f ca="1">IF(OR(I11="",J11="",CJ11="",CK11=""),"",
IF(AND(J11&gt;=EOMONTH(CK11,-1)+1,I11&lt;=EOMONTH(CK11,0)),
CJ11*
(MAX(0,MIN(J11,EOMONTH(CK11,0)) - MAX(I11,EOMONTH(CK11,-1)+1) + 1)
/
DAY(EOMONTH(CK11,0))
),
0))</f>
        <v/>
      </c>
    </row>
    <row r="12" spans="1:90" x14ac:dyDescent="0.2">
      <c r="A12" s="58">
        <v>10</v>
      </c>
      <c r="B12" s="58" t="s">
        <v>108</v>
      </c>
      <c r="C12" s="6">
        <v>43942</v>
      </c>
      <c r="D12" s="3">
        <f ca="1">DATEDIF(C12,TODAY(),"Y") + DATEDIF(C12,TODAY(),"YM")/10</f>
        <v>6.1</v>
      </c>
      <c r="E12" s="58" t="s">
        <v>109</v>
      </c>
      <c r="F12" s="3">
        <v>8128438004</v>
      </c>
      <c r="G12" s="7">
        <v>45971</v>
      </c>
      <c r="H12" s="7" t="str">
        <f ca="1">DATEDIF(G12,TODAY(),"M") &amp; " Months"</f>
        <v>6 Months</v>
      </c>
      <c r="I12" s="4">
        <v>45971</v>
      </c>
      <c r="J12" s="4">
        <f>EDATE(I12,1)</f>
        <v>46001</v>
      </c>
      <c r="K12" s="8">
        <v>12</v>
      </c>
      <c r="L12" s="8">
        <v>36</v>
      </c>
      <c r="M12" s="3">
        <f>I12+L12</f>
        <v>46007</v>
      </c>
      <c r="N12" s="9">
        <f ca="1">L12-(TODAY()-I12)</f>
        <v>-166</v>
      </c>
      <c r="O12" s="8" t="str">
        <f ca="1">IF(J12="","",
IF(TODAY()&lt;=J12,"Active",
IF(N12&gt;0,"Grace",
IF(N12&gt;-30,"Inactive","Freeze"))))</f>
        <v>Freeze</v>
      </c>
      <c r="P12" s="10">
        <v>3200</v>
      </c>
      <c r="Q12" s="11">
        <f>COUNTA(T12:CA12)</f>
        <v>0</v>
      </c>
      <c r="R12" s="3">
        <f>K12-Q12</f>
        <v>12</v>
      </c>
      <c r="S12" s="8" t="str">
        <f>IF(Q12&gt;=K12,"Complete","Incomplete")</f>
        <v>Incomplete</v>
      </c>
      <c r="CI12" s="4" t="str">
        <f t="shared" si="0"/>
        <v>1</v>
      </c>
      <c r="CJ12" s="13">
        <f>IF(OR(P12="",CI12=""),"",P12/CI12)</f>
        <v>3200</v>
      </c>
      <c r="CK12" s="5">
        <f t="shared" ca="1" si="1"/>
        <v>46173</v>
      </c>
      <c r="CL12" s="13">
        <f ca="1">IF(OR(I12="",J12="",CJ12="",CK12=""),"",
IF(AND(J12&gt;=EOMONTH(CK12,-1)+1,I12&lt;=EOMONTH(CK12,0)),
CJ12*
(MAX(0,MIN(J12,EOMONTH(CK12,0)) - MAX(I12,EOMONTH(CK12,-1)+1) + 1)
/
DAY(EOMONTH(CK12,0))
),
0))</f>
        <v>0</v>
      </c>
    </row>
    <row r="13" spans="1:90" x14ac:dyDescent="0.2">
      <c r="A13" s="58">
        <v>11</v>
      </c>
      <c r="B13" s="58" t="s">
        <v>110</v>
      </c>
      <c r="C13" s="6">
        <v>44215</v>
      </c>
      <c r="D13" s="3">
        <f ca="1">DATEDIF(C13,TODAY(),"Y") + DATEDIF(C13,TODAY(),"YM")/10</f>
        <v>5.4</v>
      </c>
      <c r="E13" s="58" t="s">
        <v>111</v>
      </c>
      <c r="F13" s="3">
        <v>7972809478</v>
      </c>
      <c r="G13" s="7">
        <v>45971</v>
      </c>
      <c r="H13" s="7" t="str">
        <f ca="1">DATEDIF(G13,TODAY(),"M") &amp; " Months"</f>
        <v>6 Months</v>
      </c>
      <c r="I13" s="4">
        <v>46080</v>
      </c>
      <c r="J13" s="4">
        <f>EDATE(I13,1)</f>
        <v>46108</v>
      </c>
      <c r="K13" s="8">
        <v>12</v>
      </c>
      <c r="L13" s="8">
        <v>36</v>
      </c>
      <c r="M13" s="3">
        <f>I13+L13</f>
        <v>46116</v>
      </c>
      <c r="N13" s="9">
        <f ca="1">L13-(TODAY()-I13)</f>
        <v>-57</v>
      </c>
      <c r="O13" s="8" t="str">
        <f ca="1">IF(J13="","",
IF(TODAY()&lt;=J13,"Active",
IF(N13&gt;0,"Grace",
IF(N13&gt;-30,"Inactive","Freeze"))))</f>
        <v>Freeze</v>
      </c>
      <c r="P13" s="10">
        <v>3200</v>
      </c>
      <c r="Q13" s="11">
        <f>COUNTA(T13:CA13)</f>
        <v>14</v>
      </c>
      <c r="R13" s="3">
        <f>K13-Q13</f>
        <v>-2</v>
      </c>
      <c r="S13" s="8" t="str">
        <f>IF(Q13&gt;=K13,"Complete","Incomplete")</f>
        <v>Complete</v>
      </c>
      <c r="T13" s="14">
        <v>46080</v>
      </c>
      <c r="U13" s="14">
        <v>46081</v>
      </c>
      <c r="V13" s="3" t="s">
        <v>98</v>
      </c>
      <c r="W13" s="3" t="s">
        <v>98</v>
      </c>
      <c r="X13" s="3" t="s">
        <v>98</v>
      </c>
      <c r="Y13" s="3" t="s">
        <v>98</v>
      </c>
      <c r="Z13" s="3" t="s">
        <v>98</v>
      </c>
      <c r="AA13" s="3" t="s">
        <v>98</v>
      </c>
      <c r="AB13" s="3" t="s">
        <v>98</v>
      </c>
      <c r="AC13" s="3" t="s">
        <v>98</v>
      </c>
      <c r="AD13" s="14">
        <v>46109</v>
      </c>
      <c r="AE13" s="14">
        <v>46115</v>
      </c>
      <c r="AF13" s="14">
        <v>46121</v>
      </c>
      <c r="AG13" s="14">
        <v>46122</v>
      </c>
      <c r="CI13" s="4" t="str">
        <f t="shared" si="0"/>
        <v>1</v>
      </c>
      <c r="CJ13" s="13">
        <f>IF(OR(P13="",CI13=""),"",P13/CI13)</f>
        <v>3200</v>
      </c>
      <c r="CK13" s="5">
        <f t="shared" ca="1" si="1"/>
        <v>46173</v>
      </c>
      <c r="CL13" s="13">
        <f ca="1">IF(OR(I13="",J13="",CJ13="",CK13=""),"",
IF(AND(J13&gt;=EOMONTH(CK13,-1)+1,I13&lt;=EOMONTH(CK13,0)),
CJ13*
(MAX(0,MIN(J13,EOMONTH(CK13,0)) - MAX(I13,EOMONTH(CK13,-1)+1) + 1)
/
DAY(EOMONTH(CK13,0))
),
0))</f>
        <v>0</v>
      </c>
    </row>
    <row r="14" spans="1:90" x14ac:dyDescent="0.2">
      <c r="A14" s="58">
        <v>12</v>
      </c>
      <c r="B14" s="58" t="s">
        <v>112</v>
      </c>
      <c r="C14" s="6">
        <v>42644</v>
      </c>
      <c r="D14" s="3">
        <f ca="1">DATEDIF(C14,TODAY(),"Y") + DATEDIF(C14,TODAY(),"YM")/10</f>
        <v>9.6999999999999993</v>
      </c>
      <c r="E14" s="58" t="s">
        <v>113</v>
      </c>
      <c r="F14" s="3">
        <v>7378660748</v>
      </c>
      <c r="G14" s="7">
        <v>45967</v>
      </c>
      <c r="H14" s="7" t="str">
        <f ca="1">DATEDIF(G14,TODAY(),"M") &amp; " Months"</f>
        <v>6 Months</v>
      </c>
      <c r="I14" s="4">
        <v>46104</v>
      </c>
      <c r="J14" s="4">
        <f>EDATE(I14,1)</f>
        <v>46135</v>
      </c>
      <c r="K14" s="8">
        <v>16</v>
      </c>
      <c r="L14" s="8">
        <v>43</v>
      </c>
      <c r="M14" s="3">
        <f>I14+L14</f>
        <v>46147</v>
      </c>
      <c r="N14" s="9">
        <f ca="1">L14-(TODAY()-I14)</f>
        <v>-26</v>
      </c>
      <c r="O14" s="8" t="str">
        <f ca="1">IF(J14="","",
IF(TODAY()&lt;=J14,"Active",
IF(N14&gt;0,"Grace",
IF(N14&gt;-30,"Inactive","Freeze"))))</f>
        <v>Inactive</v>
      </c>
      <c r="P14" s="10">
        <v>3200</v>
      </c>
      <c r="Q14" s="11">
        <f>COUNTA(T14:CA14)</f>
        <v>13</v>
      </c>
      <c r="R14" s="3">
        <f>K14-Q14</f>
        <v>3</v>
      </c>
      <c r="S14" s="8" t="str">
        <f>IF(Q14&gt;=K14,"Complete","Incomplete")</f>
        <v>Incomplete</v>
      </c>
      <c r="T14" s="14">
        <v>46104</v>
      </c>
      <c r="U14" s="14">
        <v>46105</v>
      </c>
      <c r="V14" s="14">
        <v>46106</v>
      </c>
      <c r="W14" s="14">
        <v>46112</v>
      </c>
      <c r="X14" s="14">
        <v>46113</v>
      </c>
      <c r="Y14" s="14">
        <v>46115</v>
      </c>
      <c r="Z14" s="14">
        <v>46118</v>
      </c>
      <c r="AA14" s="14">
        <v>46119</v>
      </c>
      <c r="AB14" s="14">
        <v>46127</v>
      </c>
      <c r="AC14" s="14">
        <v>46128</v>
      </c>
      <c r="AD14" s="14">
        <v>46133</v>
      </c>
      <c r="AE14" s="14">
        <v>46134</v>
      </c>
      <c r="AF14" s="14">
        <v>46135</v>
      </c>
      <c r="CI14" s="4" t="str">
        <f t="shared" si="0"/>
        <v>1</v>
      </c>
      <c r="CJ14" s="13">
        <f>IF(OR(P14="",CI14=""),"",P14/CI14)</f>
        <v>3200</v>
      </c>
      <c r="CK14" s="5">
        <f t="shared" ca="1" si="1"/>
        <v>46173</v>
      </c>
      <c r="CL14" s="13">
        <f ca="1">IF(OR(I14="",J14="",CJ14="",CK14=""),"",
IF(AND(J14&gt;=EOMONTH(CK14,-1)+1,I14&lt;=EOMONTH(CK14,0)),
CJ14*
(MAX(0,MIN(J14,EOMONTH(CK14,0)) - MAX(I14,EOMONTH(CK14,-1)+1) + 1)
/
DAY(EOMONTH(CK14,0))
),
0))</f>
        <v>0</v>
      </c>
    </row>
    <row r="15" spans="1:90" x14ac:dyDescent="0.2">
      <c r="A15" s="58">
        <v>13</v>
      </c>
      <c r="B15" s="58" t="s">
        <v>114</v>
      </c>
      <c r="C15" s="6">
        <v>44280</v>
      </c>
      <c r="D15" s="3">
        <f ca="1">DATEDIF(C15,TODAY(),"Y") + DATEDIF(C15,TODAY(),"YM")/10</f>
        <v>5.2</v>
      </c>
      <c r="E15" s="58" t="s">
        <v>115</v>
      </c>
      <c r="F15" s="3">
        <v>8237815875</v>
      </c>
      <c r="G15" s="7">
        <v>45941</v>
      </c>
      <c r="H15" s="7" t="str">
        <f ca="1">DATEDIF(G15,TODAY(),"M") &amp; " Months"</f>
        <v>7 Months</v>
      </c>
      <c r="I15" s="4">
        <v>45941</v>
      </c>
      <c r="J15" s="4">
        <f>EDATE(I15,1)</f>
        <v>45972</v>
      </c>
      <c r="K15" s="8">
        <v>12</v>
      </c>
      <c r="L15" s="8">
        <v>36</v>
      </c>
      <c r="M15" s="3">
        <f>I15+L15</f>
        <v>45977</v>
      </c>
      <c r="N15" s="9">
        <f ca="1">L15-(TODAY()-I15)</f>
        <v>-196</v>
      </c>
      <c r="O15" s="8" t="str">
        <f ca="1">IF(J15="","",
IF(TODAY()&lt;=J15,"Active",
IF(N15&gt;0,"Grace",
IF(N15&gt;-30,"Inactive","Freeze"))))</f>
        <v>Freeze</v>
      </c>
      <c r="P15" s="10">
        <v>3200</v>
      </c>
      <c r="Q15" s="11">
        <f>COUNTA(T15:CA15)</f>
        <v>0</v>
      </c>
      <c r="R15" s="3">
        <f>K15-Q15</f>
        <v>12</v>
      </c>
      <c r="S15" s="8" t="str">
        <f>IF(Q15&gt;=K15,"Complete","Incomplete")</f>
        <v>Incomplete</v>
      </c>
      <c r="CI15" s="4" t="str">
        <f t="shared" si="0"/>
        <v>1</v>
      </c>
      <c r="CJ15" s="13">
        <f>IF(OR(P15="",CI15=""),"",P15/CI15)</f>
        <v>3200</v>
      </c>
      <c r="CK15" s="5">
        <f t="shared" ca="1" si="1"/>
        <v>46173</v>
      </c>
      <c r="CL15" s="13">
        <f ca="1">IF(OR(I15="",J15="",CJ15="",CK15=""),"",
IF(AND(J15&gt;=EOMONTH(CK15,-1)+1,I15&lt;=EOMONTH(CK15,0)),
CJ15*
(MAX(0,MIN(J15,EOMONTH(CK15,0)) - MAX(I15,EOMONTH(CK15,-1)+1) + 1)
/
DAY(EOMONTH(CK15,0))
),
0))</f>
        <v>0</v>
      </c>
    </row>
    <row r="16" spans="1:90" x14ac:dyDescent="0.2">
      <c r="A16" s="58">
        <v>14</v>
      </c>
      <c r="B16" s="58" t="s">
        <v>116</v>
      </c>
      <c r="C16" s="6">
        <v>44952</v>
      </c>
      <c r="D16" s="3">
        <f ca="1">DATEDIF(C16,TODAY(),"Y") + DATEDIF(C16,TODAY(),"YM")/10</f>
        <v>3.4</v>
      </c>
      <c r="E16" s="58" t="s">
        <v>117</v>
      </c>
      <c r="F16" s="3">
        <v>8939365455</v>
      </c>
      <c r="G16" s="7">
        <v>45986</v>
      </c>
      <c r="H16" s="7" t="str">
        <f ca="1">DATEDIF(G16,TODAY(),"M") &amp; " Months"</f>
        <v>6 Months</v>
      </c>
      <c r="I16" s="4">
        <v>46143</v>
      </c>
      <c r="J16" s="4">
        <f>EDATE(I16,3)</f>
        <v>46235</v>
      </c>
      <c r="K16" s="8">
        <v>36</v>
      </c>
      <c r="L16" s="8">
        <v>108</v>
      </c>
      <c r="M16" s="3">
        <f>I16+L16</f>
        <v>46251</v>
      </c>
      <c r="N16" s="9">
        <f ca="1">L16-(TODAY()-I16)</f>
        <v>78</v>
      </c>
      <c r="O16" s="8" t="str">
        <f ca="1">IF(J16="","",
IF(TODAY()&lt;=J16,"Active",
IF(N16&gt;0,"Grace",
IF(N16&gt;-30,"Inactive","Freeze"))))</f>
        <v>Active</v>
      </c>
      <c r="P16" s="10">
        <v>8640</v>
      </c>
      <c r="Q16" s="11">
        <f>COUNTA(T16:CA16)</f>
        <v>13</v>
      </c>
      <c r="R16" s="3">
        <f>K16-Q16</f>
        <v>23</v>
      </c>
      <c r="S16" s="8" t="str">
        <f>IF(Q16&gt;=K16,"Complete","Incomplete")</f>
        <v>Incomplete</v>
      </c>
      <c r="T16" s="14">
        <v>46143</v>
      </c>
      <c r="U16" s="14">
        <v>46146</v>
      </c>
      <c r="V16" s="14">
        <v>46148</v>
      </c>
      <c r="W16" s="14">
        <v>46150</v>
      </c>
      <c r="X16" s="14">
        <v>46153</v>
      </c>
      <c r="Y16" s="14">
        <v>46155</v>
      </c>
      <c r="Z16" s="14">
        <v>46157</v>
      </c>
      <c r="AA16" s="14">
        <v>46160</v>
      </c>
      <c r="AB16" s="14">
        <v>46163</v>
      </c>
      <c r="AC16" s="14">
        <v>46164</v>
      </c>
      <c r="AD16" s="14">
        <v>46167</v>
      </c>
      <c r="AE16" s="14">
        <v>46169</v>
      </c>
      <c r="AF16" s="14">
        <v>46171</v>
      </c>
      <c r="AG16" s="14"/>
      <c r="AH16" s="14"/>
      <c r="AI16" s="14"/>
      <c r="AJ16" s="14"/>
      <c r="CI16" s="4" t="str">
        <f t="shared" si="0"/>
        <v>3</v>
      </c>
      <c r="CJ16" s="13">
        <f>IF(OR(P16="",CI16=""),"",P16/CI16)</f>
        <v>2880</v>
      </c>
      <c r="CK16" s="5">
        <f t="shared" ca="1" si="1"/>
        <v>46173</v>
      </c>
      <c r="CL16" s="13">
        <f ca="1">IF(OR(I16="",J16="",CJ16="",CK16=""),"",
IF(AND(J16&gt;=EOMONTH(CK16,-1)+1,I16&lt;=EOMONTH(CK16,0)),
CJ16*
(MAX(0,MIN(J16,EOMONTH(CK16,0)) - MAX(I16,EOMONTH(CK16,-1)+1) + 1)
/
DAY(EOMONTH(CK16,0))
),
0))</f>
        <v>2880</v>
      </c>
    </row>
    <row r="17" spans="1:90" x14ac:dyDescent="0.2">
      <c r="A17" s="58">
        <v>15</v>
      </c>
      <c r="B17" s="58" t="s">
        <v>118</v>
      </c>
      <c r="C17" s="6">
        <v>42845</v>
      </c>
      <c r="D17" s="3">
        <f ca="1">DATEDIF(C17,TODAY(),"Y") + DATEDIF(C17,TODAY(),"YM")/10</f>
        <v>9.1</v>
      </c>
      <c r="E17" s="58" t="s">
        <v>119</v>
      </c>
      <c r="F17" s="3">
        <v>7058352229</v>
      </c>
      <c r="G17" s="7">
        <v>45948</v>
      </c>
      <c r="H17" s="7" t="str">
        <f ca="1">DATEDIF(G17,TODAY(),"M") &amp; " Months"</f>
        <v>7 Months</v>
      </c>
      <c r="I17" s="4">
        <v>45948</v>
      </c>
      <c r="J17" s="4">
        <f>EDATE(I17,1)</f>
        <v>45979</v>
      </c>
      <c r="K17" s="8">
        <v>12</v>
      </c>
      <c r="L17" s="8">
        <v>36</v>
      </c>
      <c r="M17" s="3">
        <f>I17+L17</f>
        <v>45984</v>
      </c>
      <c r="N17" s="9">
        <f ca="1">L17-(TODAY()-I17)</f>
        <v>-189</v>
      </c>
      <c r="O17" s="8" t="str">
        <f ca="1">IF(J17="","",
IF(TODAY()&lt;=J17,"Active",
IF(N17&gt;0,"Grace",
IF(N17&gt;-30,"Inactive","Freeze"))))</f>
        <v>Freeze</v>
      </c>
      <c r="P17" s="10">
        <v>3200</v>
      </c>
      <c r="Q17" s="11">
        <f>COUNTA(T17:CA17)</f>
        <v>0</v>
      </c>
      <c r="R17" s="3">
        <f>K17-Q17</f>
        <v>12</v>
      </c>
      <c r="S17" s="8" t="str">
        <f>IF(Q17&gt;=K17,"Complete","Incomplete")</f>
        <v>Incomplete</v>
      </c>
      <c r="CI17" s="4" t="str">
        <f t="shared" si="0"/>
        <v>1</v>
      </c>
      <c r="CJ17" s="13">
        <f>IF(OR(P17="",CI17=""),"",P17/CI17)</f>
        <v>3200</v>
      </c>
      <c r="CK17" s="5">
        <f t="shared" ca="1" si="1"/>
        <v>46173</v>
      </c>
      <c r="CL17" s="13">
        <f ca="1">IF(OR(I17="",J17="",CJ17="",CK17=""),"",
IF(AND(J17&gt;=EOMONTH(CK17,-1)+1,I17&lt;=EOMONTH(CK17,0)),
CJ17*
(MAX(0,MIN(J17,EOMONTH(CK17,0)) - MAX(I17,EOMONTH(CK17,-1)+1) + 1)
/
DAY(EOMONTH(CK17,0))
),
0))</f>
        <v>0</v>
      </c>
    </row>
    <row r="18" spans="1:90" x14ac:dyDescent="0.2">
      <c r="A18" s="58">
        <v>16</v>
      </c>
      <c r="B18" s="58" t="s">
        <v>120</v>
      </c>
      <c r="C18" s="6">
        <v>43493</v>
      </c>
      <c r="D18" s="3">
        <f ca="1">DATEDIF(C18,TODAY(),"Y") + DATEDIF(C18,TODAY(),"YM")/10</f>
        <v>7.4</v>
      </c>
      <c r="E18" s="58" t="s">
        <v>121</v>
      </c>
      <c r="F18" s="3">
        <v>8805004678</v>
      </c>
      <c r="G18" s="7">
        <v>45952</v>
      </c>
      <c r="H18" s="7" t="str">
        <f ca="1">DATEDIF(G18,TODAY(),"M") &amp; " Months"</f>
        <v>7 Months</v>
      </c>
      <c r="I18" s="4">
        <v>45952</v>
      </c>
      <c r="J18" s="4">
        <f>EDATE(I18,3)</f>
        <v>46044</v>
      </c>
      <c r="K18" s="8">
        <v>36</v>
      </c>
      <c r="L18" s="8">
        <v>108</v>
      </c>
      <c r="M18" s="3">
        <f>I18+L18</f>
        <v>46060</v>
      </c>
      <c r="N18" s="9">
        <f ca="1">L18-(TODAY()-I18)</f>
        <v>-113</v>
      </c>
      <c r="O18" s="8" t="str">
        <f ca="1">IF(J18="","",
IF(TODAY()&lt;=J18,"Active",
IF(N18&gt;0,"Grace",
IF(N18&gt;-30,"Inactive","Freeze"))))</f>
        <v>Freeze</v>
      </c>
      <c r="P18" s="10">
        <v>8640</v>
      </c>
      <c r="Q18" s="11">
        <f>COUNTA(T18:CA18)</f>
        <v>0</v>
      </c>
      <c r="R18" s="3">
        <f>K18-Q18</f>
        <v>36</v>
      </c>
      <c r="S18" s="8" t="str">
        <f>IF(Q18&gt;=K18,"Complete","Incomplete")</f>
        <v>Incomplete</v>
      </c>
      <c r="CI18" s="4" t="str">
        <f t="shared" si="0"/>
        <v>3</v>
      </c>
      <c r="CJ18" s="13">
        <f>IF(OR(P18="",CI18=""),"",P18/CI18)</f>
        <v>2880</v>
      </c>
      <c r="CK18" s="5">
        <f t="shared" ca="1" si="1"/>
        <v>46173</v>
      </c>
      <c r="CL18" s="13">
        <f ca="1">IF(OR(I18="",J18="",CJ18="",CK18=""),"",
IF(AND(J18&gt;=EOMONTH(CK18,-1)+1,I18&lt;=EOMONTH(CK18,0)),
CJ18*
(MAX(0,MIN(J18,EOMONTH(CK18,0)) - MAX(I18,EOMONTH(CK18,-1)+1) + 1)
/
DAY(EOMONTH(CK18,0))
),
0))</f>
        <v>0</v>
      </c>
    </row>
    <row r="19" spans="1:90" x14ac:dyDescent="0.2">
      <c r="A19" s="58">
        <v>17</v>
      </c>
      <c r="B19" s="58" t="s">
        <v>122</v>
      </c>
      <c r="C19" s="6">
        <v>41124</v>
      </c>
      <c r="D19" s="3">
        <f ca="1">DATEDIF(C19,TODAY(),"Y") + DATEDIF(C19,TODAY(),"YM")/10</f>
        <v>13.9</v>
      </c>
      <c r="E19" s="58" t="s">
        <v>123</v>
      </c>
      <c r="F19" s="3">
        <v>9822887842</v>
      </c>
      <c r="G19" s="7">
        <v>45952</v>
      </c>
      <c r="H19" s="7" t="str">
        <f ca="1">DATEDIF(G19,TODAY(),"M") &amp; " Months"</f>
        <v>7 Months</v>
      </c>
      <c r="I19" s="4">
        <v>45952</v>
      </c>
      <c r="J19" s="4">
        <f>EDATE(I19,3)</f>
        <v>46044</v>
      </c>
      <c r="M19" s="3">
        <f>I19+L19</f>
        <v>45952</v>
      </c>
      <c r="N19" s="9">
        <f ca="1">L19-(TODAY()-I19)</f>
        <v>-221</v>
      </c>
      <c r="O19" s="8" t="str">
        <f ca="1">IF(J19="","",
IF(TODAY()&lt;=J19,"Active",
IF(N19&gt;0,"Grace",
IF(N19&gt;-30,"Inactive","Freeze"))))</f>
        <v>Freeze</v>
      </c>
      <c r="P19" s="10"/>
      <c r="Q19" s="11">
        <f>COUNTA(T19:CA19)</f>
        <v>33</v>
      </c>
      <c r="R19" s="3">
        <f>K19-Q19</f>
        <v>-33</v>
      </c>
      <c r="S19" s="8" t="str">
        <f>IF(Q19&gt;=K19,"Complete","Incomplete")</f>
        <v>Complete</v>
      </c>
      <c r="T19" s="14">
        <v>46317</v>
      </c>
      <c r="U19" s="3" t="s">
        <v>98</v>
      </c>
      <c r="V19" s="3" t="s">
        <v>98</v>
      </c>
      <c r="W19" s="3" t="s">
        <v>98</v>
      </c>
      <c r="X19" s="3" t="s">
        <v>98</v>
      </c>
      <c r="Y19" s="3" t="s">
        <v>98</v>
      </c>
      <c r="Z19" s="3" t="s">
        <v>98</v>
      </c>
      <c r="AA19" s="3" t="s">
        <v>98</v>
      </c>
      <c r="AB19" s="3" t="s">
        <v>98</v>
      </c>
      <c r="AC19" s="3" t="s">
        <v>98</v>
      </c>
      <c r="AD19" s="3" t="s">
        <v>98</v>
      </c>
      <c r="AE19" s="3" t="s">
        <v>98</v>
      </c>
      <c r="AF19" s="3" t="s">
        <v>98</v>
      </c>
      <c r="AG19" s="3" t="s">
        <v>98</v>
      </c>
      <c r="AH19" s="3" t="s">
        <v>98</v>
      </c>
      <c r="AI19" s="3" t="s">
        <v>98</v>
      </c>
      <c r="AJ19" s="3" t="s">
        <v>98</v>
      </c>
      <c r="AK19" s="3" t="s">
        <v>98</v>
      </c>
      <c r="AL19" s="3" t="s">
        <v>98</v>
      </c>
      <c r="AM19" s="3" t="s">
        <v>98</v>
      </c>
      <c r="AN19" s="3" t="s">
        <v>98</v>
      </c>
      <c r="AO19" s="3" t="s">
        <v>98</v>
      </c>
      <c r="AP19" s="3" t="s">
        <v>98</v>
      </c>
      <c r="AQ19" s="3" t="s">
        <v>98</v>
      </c>
      <c r="AR19" s="3" t="s">
        <v>98</v>
      </c>
      <c r="AS19" s="3" t="s">
        <v>98</v>
      </c>
      <c r="AT19" s="3" t="s">
        <v>98</v>
      </c>
      <c r="AU19" s="3" t="s">
        <v>98</v>
      </c>
      <c r="AV19" s="3" t="s">
        <v>98</v>
      </c>
      <c r="AW19" s="3" t="s">
        <v>98</v>
      </c>
      <c r="AX19" s="3" t="s">
        <v>98</v>
      </c>
      <c r="AY19" s="3" t="s">
        <v>98</v>
      </c>
      <c r="AZ19" s="3" t="s">
        <v>98</v>
      </c>
      <c r="CI19" s="4" t="str">
        <f t="shared" si="0"/>
        <v>3</v>
      </c>
      <c r="CJ19" s="13" t="str">
        <f>IF(OR(P19="",CI19=""),"",P19/CI19)</f>
        <v/>
      </c>
      <c r="CK19" s="5">
        <f t="shared" ca="1" si="1"/>
        <v>46173</v>
      </c>
      <c r="CL19" s="13" t="str">
        <f ca="1">IF(OR(I19="",J19="",CJ19="",CK19=""),"",
IF(AND(J19&gt;=EOMONTH(CK19,-1)+1,I19&lt;=EOMONTH(CK19,0)),
CJ19*
(MAX(0,MIN(J19,EOMONTH(CK19,0)) - MAX(I19,EOMONTH(CK19,-1)+1) + 1)
/
DAY(EOMONTH(CK19,0))
),
0))</f>
        <v/>
      </c>
    </row>
    <row r="20" spans="1:90" s="58" customFormat="1" x14ac:dyDescent="0.2">
      <c r="A20" s="58">
        <v>18</v>
      </c>
      <c r="B20" s="58" t="s">
        <v>124</v>
      </c>
      <c r="C20" s="62">
        <v>44040</v>
      </c>
      <c r="D20" s="58">
        <f ca="1">DATEDIF(C20,TODAY(),"Y") + DATEDIF(C20,TODAY(),"YM")/10</f>
        <v>6</v>
      </c>
      <c r="E20" s="58" t="s">
        <v>125</v>
      </c>
      <c r="F20" s="58">
        <v>8128305524</v>
      </c>
      <c r="G20" s="65">
        <v>45948</v>
      </c>
      <c r="H20" s="65" t="str">
        <f ca="1">DATEDIF(G20,TODAY(),"M") &amp; " Months"</f>
        <v>7 Months</v>
      </c>
      <c r="I20" s="22">
        <v>45948</v>
      </c>
      <c r="J20" s="22">
        <f>EDATE(I20,1)</f>
        <v>45979</v>
      </c>
      <c r="K20" s="61">
        <v>12</v>
      </c>
      <c r="L20" s="61">
        <v>36</v>
      </c>
      <c r="M20" s="58">
        <f>I20+L20</f>
        <v>45984</v>
      </c>
      <c r="N20" s="60">
        <f ca="1">L20-(TODAY()-I20)</f>
        <v>-189</v>
      </c>
      <c r="O20" s="61" t="str">
        <f ca="1">IF(J20="","",
IF(TODAY()&lt;=J20,"Active",
IF(N20&gt;0,"Grace",
IF(N20&gt;-30,"Inactive","Freeze"))))</f>
        <v>Freeze</v>
      </c>
      <c r="P20" s="64">
        <v>3200</v>
      </c>
      <c r="Q20" s="58">
        <f>COUNTA(T20:CA20)</f>
        <v>0</v>
      </c>
      <c r="R20" s="58">
        <f>K20-Q20</f>
        <v>12</v>
      </c>
      <c r="S20" s="61" t="str">
        <f>IF(Q20&gt;=K20,"Complete","Incomplete")</f>
        <v>Incomplete</v>
      </c>
      <c r="CI20" s="22" t="str">
        <f>IF(OR(I20="",J20=""),"",
IF(J20-I20&lt;=31,"1",
IF(J20-I20&lt;=93,"3","")))</f>
        <v>1</v>
      </c>
      <c r="CJ20" s="59">
        <f>IF(OR(P20="",CI20=""),"",P20/CI20)</f>
        <v>3200</v>
      </c>
      <c r="CK20" s="63">
        <f ca="1">CK19</f>
        <v>46173</v>
      </c>
      <c r="CL20" s="59">
        <f ca="1">IF(OR(I20="",J20="",CJ20="",CK20=""),"",
IF(AND(J20&gt;=EOMONTH(CK20,-1)+1,I20&lt;=EOMONTH(CK20,0)),
CJ20*
(MAX(0,MIN(J20,EOMONTH(CK20,0)) - MAX(I20,EOMONTH(CK20,-1)+1) + 1)
/
DAY(EOMONTH(CK20,0))
),
0))</f>
        <v>0</v>
      </c>
    </row>
    <row r="21" spans="1:90" x14ac:dyDescent="0.2">
      <c r="A21" s="58">
        <v>19</v>
      </c>
      <c r="B21" s="58" t="s">
        <v>126</v>
      </c>
      <c r="C21" s="6">
        <v>43783</v>
      </c>
      <c r="D21" s="3">
        <f ca="1">DATEDIF(C21,TODAY(),"Y") + DATEDIF(C21,TODAY(),"YM")/10</f>
        <v>6.6</v>
      </c>
      <c r="E21" s="58" t="s">
        <v>127</v>
      </c>
      <c r="F21" s="3">
        <v>8149895185</v>
      </c>
      <c r="G21" s="7">
        <v>45964</v>
      </c>
      <c r="H21" s="7" t="str">
        <f ca="1">DATEDIF(G21,TODAY(),"M") &amp; " Months"</f>
        <v>6 Months</v>
      </c>
      <c r="I21" s="4">
        <v>46080</v>
      </c>
      <c r="J21" s="4">
        <f>EDATE(I21,3)</f>
        <v>46169</v>
      </c>
      <c r="K21" s="8">
        <v>60</v>
      </c>
      <c r="L21" s="8">
        <v>114</v>
      </c>
      <c r="M21" s="3">
        <f>I21+L21</f>
        <v>46194</v>
      </c>
      <c r="N21" s="9">
        <f ca="1">L21-(TODAY()-I21)</f>
        <v>21</v>
      </c>
      <c r="O21" s="8" t="str">
        <f ca="1">IF(J21="","",
IF(TODAY()&lt;=J21,"Active",
IF(N21&gt;0,"Grace",
IF(N21&gt;-30,"Inactive","Freeze"))))</f>
        <v>Grace</v>
      </c>
      <c r="P21" s="10">
        <v>11880</v>
      </c>
      <c r="Q21" s="11">
        <f>COUNTA(T21:CA21)</f>
        <v>29</v>
      </c>
      <c r="R21" s="3">
        <f>K21-Q21</f>
        <v>31</v>
      </c>
      <c r="S21" s="8" t="str">
        <f>IF(Q21&gt;=K21,"Complete","Incomplete")</f>
        <v>Incomplete</v>
      </c>
      <c r="T21" s="14">
        <v>46086</v>
      </c>
      <c r="U21" s="14">
        <v>46087</v>
      </c>
      <c r="V21" s="14">
        <v>46090</v>
      </c>
      <c r="W21" s="14">
        <v>46091</v>
      </c>
      <c r="X21" s="14">
        <v>46094</v>
      </c>
      <c r="Y21" s="14">
        <v>46098</v>
      </c>
      <c r="Z21" s="14">
        <v>46104</v>
      </c>
      <c r="AA21" s="14">
        <v>46105</v>
      </c>
      <c r="AB21" s="14">
        <v>46106</v>
      </c>
      <c r="AC21" s="14">
        <v>46107</v>
      </c>
      <c r="AD21" s="14">
        <v>46108</v>
      </c>
      <c r="AE21" s="14">
        <v>46112</v>
      </c>
      <c r="AF21" s="14">
        <v>46121</v>
      </c>
      <c r="AG21" s="14">
        <v>46122</v>
      </c>
      <c r="AH21" s="14">
        <v>46125</v>
      </c>
      <c r="AI21" s="14">
        <v>46126</v>
      </c>
      <c r="AJ21" s="14">
        <v>46127</v>
      </c>
      <c r="AK21" s="14">
        <v>46133</v>
      </c>
      <c r="AL21" s="14">
        <v>46135</v>
      </c>
      <c r="AM21" s="14">
        <v>46136</v>
      </c>
      <c r="AN21" s="14">
        <v>46137</v>
      </c>
      <c r="AO21" s="14">
        <v>46139</v>
      </c>
      <c r="AP21" s="14">
        <v>46140</v>
      </c>
      <c r="AQ21" s="14">
        <v>46141</v>
      </c>
      <c r="AR21" s="14">
        <v>46143</v>
      </c>
      <c r="AS21" s="14">
        <v>46149</v>
      </c>
      <c r="AT21" s="14">
        <v>46150</v>
      </c>
      <c r="AU21" s="14">
        <v>46154</v>
      </c>
      <c r="AV21" s="14">
        <v>46155</v>
      </c>
      <c r="CI21" s="4" t="str">
        <f t="shared" si="0"/>
        <v>3</v>
      </c>
      <c r="CJ21" s="13">
        <f>IF(OR(P21="",CI21=""),"",P21/CI21)</f>
        <v>3960</v>
      </c>
      <c r="CK21" s="5">
        <f ca="1">CK20</f>
        <v>46173</v>
      </c>
      <c r="CL21" s="13">
        <f ca="1">IF(OR(I21="",J21="",CJ21="",CK21=""),"",
IF(AND(J21&gt;=EOMONTH(CK21,-1)+1,I21&lt;=EOMONTH(CK21,0)),
CJ21*
(MAX(0,MIN(J21,EOMONTH(CK21,0)) - MAX(I21,EOMONTH(CK21,-1)+1) + 1)
/
DAY(EOMONTH(CK21,0))
),
0))</f>
        <v>3449.0322580645161</v>
      </c>
    </row>
    <row r="22" spans="1:90" x14ac:dyDescent="0.2">
      <c r="A22" s="58">
        <v>20</v>
      </c>
      <c r="B22" s="58" t="s">
        <v>128</v>
      </c>
      <c r="C22" s="6">
        <v>44561</v>
      </c>
      <c r="D22" s="3">
        <f ca="1">DATEDIF(C22,TODAY(),"Y") + DATEDIF(C22,TODAY(),"YM")/10</f>
        <v>4.5</v>
      </c>
      <c r="E22" s="58" t="s">
        <v>129</v>
      </c>
      <c r="F22" s="3">
        <v>8329348922</v>
      </c>
      <c r="G22" s="7">
        <v>45957</v>
      </c>
      <c r="H22" s="7" t="str">
        <f ca="1">DATEDIF(G22,TODAY(),"M") &amp; " Months"</f>
        <v>7 Months</v>
      </c>
      <c r="I22" s="4">
        <v>45957</v>
      </c>
      <c r="J22" s="4">
        <f>EDATE(I22,1)</f>
        <v>45988</v>
      </c>
      <c r="K22" s="8">
        <v>12</v>
      </c>
      <c r="L22" s="8">
        <v>36</v>
      </c>
      <c r="M22" s="3">
        <f>I22+L22</f>
        <v>45993</v>
      </c>
      <c r="N22" s="9">
        <f ca="1">L22-(TODAY()-I22)</f>
        <v>-180</v>
      </c>
      <c r="O22" s="8" t="str">
        <f ca="1">IF(J22="","",
IF(TODAY()&lt;=J22,"Active",
IF(N22&gt;0,"Grace",
IF(N22&gt;-30,"Inactive","Freeze"))))</f>
        <v>Freeze</v>
      </c>
      <c r="P22" s="10">
        <v>3200</v>
      </c>
      <c r="Q22" s="11">
        <f>COUNTA(T22:CA22)</f>
        <v>0</v>
      </c>
      <c r="R22" s="3">
        <f>K22-Q22</f>
        <v>12</v>
      </c>
      <c r="S22" s="8" t="str">
        <f>IF(Q22&gt;=K22,"Complete","Incomplete")</f>
        <v>Incomplete</v>
      </c>
      <c r="CI22" s="4" t="str">
        <f t="shared" si="0"/>
        <v>1</v>
      </c>
      <c r="CJ22" s="13">
        <f>IF(OR(P22="",CI22=""),"",P22/CI22)</f>
        <v>3200</v>
      </c>
      <c r="CK22" s="5">
        <f t="shared" ca="1" si="1"/>
        <v>46173</v>
      </c>
      <c r="CL22" s="13">
        <f ca="1">IF(OR(I22="",J22="",CJ22="",CK22=""),"",
IF(AND(J22&gt;=EOMONTH(CK22,-1)+1,I22&lt;=EOMONTH(CK22,0)),
CJ22*
(MAX(0,MIN(J22,EOMONTH(CK22,0)) - MAX(I22,EOMONTH(CK22,-1)+1) + 1)
/
DAY(EOMONTH(CK22,0))
),
0))</f>
        <v>0</v>
      </c>
    </row>
    <row r="23" spans="1:90" x14ac:dyDescent="0.2">
      <c r="A23" s="58">
        <v>21</v>
      </c>
      <c r="B23" s="58" t="s">
        <v>130</v>
      </c>
      <c r="D23" s="3">
        <f ca="1">DATEDIF(C23,TODAY(),"Y") + DATEDIF(C23,TODAY(),"YM")/10</f>
        <v>126.4</v>
      </c>
      <c r="E23" s="58" t="s">
        <v>131</v>
      </c>
      <c r="F23" s="3">
        <v>9654256633</v>
      </c>
      <c r="G23" s="7">
        <v>45958</v>
      </c>
      <c r="H23" s="7" t="str">
        <f ca="1">DATEDIF(G23,TODAY(),"M") &amp; " Months"</f>
        <v>7 Months</v>
      </c>
      <c r="I23" s="4">
        <v>45958</v>
      </c>
      <c r="J23" s="4">
        <f>EDATE(I23,1)</f>
        <v>45989</v>
      </c>
      <c r="K23" s="8">
        <v>12</v>
      </c>
      <c r="L23" s="8">
        <v>36</v>
      </c>
      <c r="M23" s="3">
        <f>I23+L23</f>
        <v>45994</v>
      </c>
      <c r="N23" s="9">
        <f ca="1">L23-(TODAY()-I23)</f>
        <v>-179</v>
      </c>
      <c r="O23" s="8" t="str">
        <f ca="1">IF(J23="","",
IF(TODAY()&lt;=J23,"Active",
IF(N23&gt;0,"Grace",
IF(N23&gt;-30,"Inactive","Freeze"))))</f>
        <v>Freeze</v>
      </c>
      <c r="P23" s="10">
        <v>3200</v>
      </c>
      <c r="Q23" s="11">
        <f>COUNTA(T23:CA23)</f>
        <v>0</v>
      </c>
      <c r="R23" s="3">
        <f>K23-Q23</f>
        <v>12</v>
      </c>
      <c r="S23" s="8" t="str">
        <f>IF(Q23&gt;=K23,"Complete","Incomplete")</f>
        <v>Incomplete</v>
      </c>
      <c r="CI23" s="4" t="str">
        <f t="shared" si="0"/>
        <v>1</v>
      </c>
      <c r="CJ23" s="13">
        <f>IF(OR(P23="",CI23=""),"",P23/CI23)</f>
        <v>3200</v>
      </c>
      <c r="CK23" s="5">
        <f t="shared" ca="1" si="1"/>
        <v>46173</v>
      </c>
      <c r="CL23" s="13">
        <f ca="1">IF(OR(I23="",J23="",CJ23="",CK23=""),"",
IF(AND(J23&gt;=EOMONTH(CK23,-1)+1,I23&lt;=EOMONTH(CK23,0)),
CJ23*
(MAX(0,MIN(J23,EOMONTH(CK23,0)) - MAX(I23,EOMONTH(CK23,-1)+1) + 1)
/
DAY(EOMONTH(CK23,0))
),
0))</f>
        <v>0</v>
      </c>
    </row>
    <row r="24" spans="1:90" x14ac:dyDescent="0.2">
      <c r="A24" s="58">
        <v>22</v>
      </c>
      <c r="B24" s="58" t="s">
        <v>132</v>
      </c>
      <c r="C24" s="6">
        <v>43053</v>
      </c>
      <c r="D24" s="3">
        <f ca="1">DATEDIF(C24,TODAY(),"Y") + DATEDIF(C24,TODAY(),"YM")/10</f>
        <v>8.6</v>
      </c>
      <c r="E24" s="58" t="s">
        <v>133</v>
      </c>
      <c r="F24" s="3">
        <v>9922997496</v>
      </c>
      <c r="G24" s="7">
        <v>46035</v>
      </c>
      <c r="H24" s="7" t="str">
        <f ca="1">DATEDIF(G24,TODAY(),"M") &amp; " Months"</f>
        <v>4 Months</v>
      </c>
      <c r="I24" s="4">
        <v>46164</v>
      </c>
      <c r="J24" s="4">
        <f>EDATE(I24,1)</f>
        <v>46195</v>
      </c>
      <c r="K24" s="8">
        <v>12</v>
      </c>
      <c r="L24" s="8">
        <v>36</v>
      </c>
      <c r="M24" s="3">
        <f>I24+L24</f>
        <v>46200</v>
      </c>
      <c r="N24" s="9">
        <f ca="1">L24-(TODAY()-I24)</f>
        <v>27</v>
      </c>
      <c r="O24" s="8" t="str">
        <f ca="1">IF(J24="","",
IF(TODAY()&lt;=J24,"Active",
IF(N24&gt;0,"Grace",
IF(N24&gt;-30,"Inactive","Freeze"))))</f>
        <v>Active</v>
      </c>
      <c r="P24" s="10">
        <v>3200</v>
      </c>
      <c r="Q24" s="11">
        <f>COUNTA(T24:CA24)</f>
        <v>2</v>
      </c>
      <c r="R24" s="3">
        <f>K24-Q24</f>
        <v>10</v>
      </c>
      <c r="S24" s="8" t="str">
        <f>IF(Q24&gt;=K24,"Complete","Incomplete")</f>
        <v>Incomplete</v>
      </c>
      <c r="T24" s="14">
        <v>46165</v>
      </c>
      <c r="U24" s="14">
        <v>46171</v>
      </c>
      <c r="V24" s="14"/>
      <c r="W24" s="14"/>
      <c r="X24" s="14"/>
      <c r="Y24" s="14"/>
      <c r="Z24" s="14"/>
      <c r="AA24" s="14"/>
      <c r="AB24" s="14"/>
      <c r="AC24" s="14"/>
      <c r="AD24" s="14"/>
      <c r="AE24" s="14"/>
      <c r="CI24" s="4" t="str">
        <f t="shared" si="0"/>
        <v>1</v>
      </c>
      <c r="CJ24" s="13">
        <f>IF(OR(P24="",CI24=""),"",P24/CI24)</f>
        <v>3200</v>
      </c>
      <c r="CK24" s="5">
        <f t="shared" ca="1" si="1"/>
        <v>46173</v>
      </c>
      <c r="CL24" s="13">
        <f ca="1">IF(OR(I24="",J24="",CJ24="",CK24=""),"",
IF(AND(J24&gt;=EOMONTH(CK24,-1)+1,I24&lt;=EOMONTH(CK24,0)),
CJ24*
(MAX(0,MIN(J24,EOMONTH(CK24,0)) - MAX(I24,EOMONTH(CK24,-1)+1) + 1)
/
DAY(EOMONTH(CK24,0))
),
0))</f>
        <v>1032.258064516129</v>
      </c>
    </row>
    <row r="25" spans="1:90" x14ac:dyDescent="0.2">
      <c r="A25" s="58">
        <v>23</v>
      </c>
      <c r="B25" s="58" t="s">
        <v>134</v>
      </c>
      <c r="C25" s="6">
        <v>40863</v>
      </c>
      <c r="D25" s="3">
        <f ca="1">DATEDIF(C25,TODAY(),"Y") + DATEDIF(C25,TODAY(),"YM")/10</f>
        <v>14.6</v>
      </c>
      <c r="E25" s="58" t="s">
        <v>135</v>
      </c>
      <c r="F25" s="3">
        <v>8600144111</v>
      </c>
      <c r="G25" s="7">
        <v>45962</v>
      </c>
      <c r="H25" s="7" t="str">
        <f ca="1">DATEDIF(G25,TODAY(),"M") &amp; " Months"</f>
        <v>6 Months</v>
      </c>
      <c r="I25" s="4">
        <v>45962</v>
      </c>
      <c r="J25" s="4">
        <f>EDATE(I25,1)</f>
        <v>45992</v>
      </c>
      <c r="K25" s="8">
        <v>12</v>
      </c>
      <c r="L25" s="8">
        <v>36</v>
      </c>
      <c r="M25" s="3">
        <f>I25+L25</f>
        <v>45998</v>
      </c>
      <c r="N25" s="9">
        <f ca="1">L25-(TODAY()-I25)</f>
        <v>-175</v>
      </c>
      <c r="O25" s="8" t="str">
        <f ca="1">IF(J25="","",
IF(TODAY()&lt;=J25,"Active",
IF(N25&gt;0,"Grace",
IF(N25&gt;-30,"Inactive","Freeze"))))</f>
        <v>Freeze</v>
      </c>
      <c r="P25" s="10">
        <v>3200</v>
      </c>
      <c r="Q25" s="11">
        <f>COUNTA(T25:CA25)</f>
        <v>0</v>
      </c>
      <c r="R25" s="3">
        <f>K25-Q25</f>
        <v>12</v>
      </c>
      <c r="S25" s="8" t="str">
        <f>IF(Q25&gt;=K25,"Complete","Incomplete")</f>
        <v>Incomplete</v>
      </c>
      <c r="CI25" s="4" t="str">
        <f t="shared" si="0"/>
        <v>1</v>
      </c>
      <c r="CJ25" s="13">
        <f>IF(OR(P25="",CI25=""),"",P25/CI25)</f>
        <v>3200</v>
      </c>
      <c r="CK25" s="5">
        <f t="shared" ca="1" si="1"/>
        <v>46173</v>
      </c>
      <c r="CL25" s="13">
        <f ca="1">IF(OR(I25="",J25="",CJ25="",CK25=""),"",
IF(AND(J25&gt;=EOMONTH(CK25,-1)+1,I25&lt;=EOMONTH(CK25,0)),
CJ25*
(MAX(0,MIN(J25,EOMONTH(CK25,0)) - MAX(I25,EOMONTH(CK25,-1)+1) + 1)
/
DAY(EOMONTH(CK25,0))
),
0))</f>
        <v>0</v>
      </c>
    </row>
    <row r="26" spans="1:90" x14ac:dyDescent="0.2">
      <c r="A26" s="58">
        <v>24</v>
      </c>
      <c r="B26" s="58" t="s">
        <v>136</v>
      </c>
      <c r="C26" s="6">
        <v>44551</v>
      </c>
      <c r="D26" s="3">
        <f ca="1">DATEDIF(C26,TODAY(),"Y") + DATEDIF(C26,TODAY(),"YM")/10</f>
        <v>4.5</v>
      </c>
      <c r="E26" s="58" t="s">
        <v>137</v>
      </c>
      <c r="F26" s="3">
        <v>9970008977</v>
      </c>
      <c r="G26" s="7">
        <v>45960</v>
      </c>
      <c r="H26" s="7" t="str">
        <f ca="1">DATEDIF(G26,TODAY(),"M") &amp; " Months"</f>
        <v>7 Months</v>
      </c>
      <c r="I26" s="4">
        <v>45960</v>
      </c>
      <c r="J26" s="4">
        <f>EDATE(I26,1)</f>
        <v>45991</v>
      </c>
      <c r="K26" s="8">
        <v>12</v>
      </c>
      <c r="L26" s="8">
        <v>36</v>
      </c>
      <c r="M26" s="3">
        <f>I26+L26</f>
        <v>45996</v>
      </c>
      <c r="N26" s="9">
        <f ca="1">L26-(TODAY()-I26)</f>
        <v>-177</v>
      </c>
      <c r="O26" s="8" t="str">
        <f ca="1">IF(J26="","",
IF(TODAY()&lt;=J26,"Active",
IF(N26&gt;0,"Grace",
IF(N26&gt;-30,"Inactive","Freeze"))))</f>
        <v>Freeze</v>
      </c>
      <c r="P26" s="10">
        <v>3200</v>
      </c>
      <c r="Q26" s="11">
        <f>COUNTA(T26:CA26)</f>
        <v>0</v>
      </c>
      <c r="R26" s="3">
        <f>K26-Q26</f>
        <v>12</v>
      </c>
      <c r="S26" s="8" t="str">
        <f>IF(Q26&gt;=K26,"Complete","Incomplete")</f>
        <v>Incomplete</v>
      </c>
      <c r="CI26" s="4" t="str">
        <f t="shared" si="0"/>
        <v>1</v>
      </c>
      <c r="CJ26" s="13">
        <f>IF(OR(P26="",CI26=""),"",P26/CI26)</f>
        <v>3200</v>
      </c>
      <c r="CK26" s="5">
        <f t="shared" ca="1" si="1"/>
        <v>46173</v>
      </c>
      <c r="CL26" s="13">
        <f ca="1">IF(OR(I26="",J26="",CJ26="",CK26=""),"",
IF(AND(J26&gt;=EOMONTH(CK26,-1)+1,I26&lt;=EOMONTH(CK26,0)),
CJ26*
(MAX(0,MIN(J26,EOMONTH(CK26,0)) - MAX(I26,EOMONTH(CK26,-1)+1) + 1)
/
DAY(EOMONTH(CK26,0))
),
0))</f>
        <v>0</v>
      </c>
    </row>
    <row r="27" spans="1:90" x14ac:dyDescent="0.2">
      <c r="A27" s="58">
        <v>25</v>
      </c>
      <c r="B27" s="58" t="s">
        <v>138</v>
      </c>
      <c r="C27" s="6">
        <v>43150</v>
      </c>
      <c r="D27" s="3">
        <f ca="1">DATEDIF(C27,TODAY(),"Y") + DATEDIF(C27,TODAY(),"YM")/10</f>
        <v>8.3000000000000007</v>
      </c>
      <c r="E27" s="58" t="s">
        <v>139</v>
      </c>
      <c r="F27" s="3">
        <v>9665988127</v>
      </c>
      <c r="G27" s="7">
        <v>45962</v>
      </c>
      <c r="H27" s="7" t="str">
        <f ca="1">DATEDIF(G27,TODAY(),"M") &amp; " Months"</f>
        <v>6 Months</v>
      </c>
      <c r="I27" s="4">
        <v>46172</v>
      </c>
      <c r="J27" s="4">
        <f>EDATE(I27,1)</f>
        <v>46203</v>
      </c>
      <c r="K27" s="8">
        <v>14</v>
      </c>
      <c r="L27" s="8">
        <v>36</v>
      </c>
      <c r="M27" s="3">
        <f>I27+L27</f>
        <v>46208</v>
      </c>
      <c r="N27" s="9">
        <f ca="1">L27-(TODAY()-I27)</f>
        <v>35</v>
      </c>
      <c r="O27" s="8" t="str">
        <f ca="1">IF(J27="","",
IF(TODAY()&lt;=J27,"Active",
IF(N27&gt;0,"Grace",
IF(N27&gt;-30,"Inactive","Freeze"))))</f>
        <v>Active</v>
      </c>
      <c r="P27" s="10">
        <v>3738</v>
      </c>
      <c r="Q27" s="11">
        <f>COUNTA(T27:CA27)</f>
        <v>0</v>
      </c>
      <c r="R27" s="3">
        <f>K27-Q27</f>
        <v>14</v>
      </c>
      <c r="S27" s="8" t="str">
        <f>IF(Q27&gt;=K27,"Complete","Incomplete")</f>
        <v>Incomplete</v>
      </c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CI27" s="4" t="str">
        <f t="shared" si="0"/>
        <v>1</v>
      </c>
      <c r="CJ27" s="13">
        <f>IF(OR(P27="",CI27=""),"",P27/CI27)</f>
        <v>3738</v>
      </c>
      <c r="CK27" s="5">
        <f t="shared" ca="1" si="1"/>
        <v>46173</v>
      </c>
      <c r="CL27" s="13">
        <f ca="1">IF(OR(I27="",J27="",CJ27="",CK27=""),"",
IF(AND(J27&gt;=EOMONTH(CK27,-1)+1,I27&lt;=EOMONTH(CK27,0)),
CJ27*
(MAX(0,MIN(J27,EOMONTH(CK27,0)) - MAX(I27,EOMONTH(CK27,-1)+1) + 1)
/
DAY(EOMONTH(CK27,0))
),
0))</f>
        <v>241.16129032258064</v>
      </c>
    </row>
    <row r="28" spans="1:90" x14ac:dyDescent="0.2">
      <c r="A28" s="58">
        <v>26</v>
      </c>
      <c r="B28" s="58" t="s">
        <v>140</v>
      </c>
      <c r="C28" s="6">
        <v>44739</v>
      </c>
      <c r="D28" s="3">
        <f ca="1">DATEDIF(C28,TODAY(),"Y") + DATEDIF(C28,TODAY(),"YM")/10</f>
        <v>4.0999999999999996</v>
      </c>
      <c r="E28" s="58" t="s">
        <v>141</v>
      </c>
      <c r="F28" s="3">
        <v>9637114493</v>
      </c>
      <c r="G28" s="7">
        <v>45962</v>
      </c>
      <c r="H28" s="7" t="str">
        <f ca="1">DATEDIF(G28,TODAY(),"M") &amp; " Months"</f>
        <v>6 Months</v>
      </c>
      <c r="I28" s="4">
        <v>45962</v>
      </c>
      <c r="J28" s="4">
        <f>EDATE(I28,1)</f>
        <v>45992</v>
      </c>
      <c r="K28" s="8">
        <v>12</v>
      </c>
      <c r="L28" s="8">
        <v>36</v>
      </c>
      <c r="M28" s="3">
        <f>I28+L28</f>
        <v>45998</v>
      </c>
      <c r="N28" s="9">
        <f ca="1">L28-(TODAY()-I28)</f>
        <v>-175</v>
      </c>
      <c r="O28" s="8" t="str">
        <f ca="1">IF(J28="","",
IF(TODAY()&lt;=J28,"Active",
IF(N28&gt;0,"Grace",
IF(N28&gt;-30,"Inactive","Freeze"))))</f>
        <v>Freeze</v>
      </c>
      <c r="P28" s="10">
        <v>3200</v>
      </c>
      <c r="Q28" s="11">
        <f>COUNTA(T28:CA28)</f>
        <v>0</v>
      </c>
      <c r="R28" s="3">
        <f>K28-Q28</f>
        <v>12</v>
      </c>
      <c r="S28" s="8" t="str">
        <f>IF(Q28&gt;=K28,"Complete","Incomplete")</f>
        <v>Incomplete</v>
      </c>
      <c r="CI28" s="4" t="str">
        <f t="shared" si="0"/>
        <v>1</v>
      </c>
      <c r="CJ28" s="13">
        <f>IF(OR(P28="",CI28=""),"",P28/CI28)</f>
        <v>3200</v>
      </c>
      <c r="CK28" s="5">
        <f t="shared" ca="1" si="1"/>
        <v>46173</v>
      </c>
      <c r="CL28" s="13">
        <f ca="1">IF(OR(I28="",J28="",CJ28="",CK28=""),"",
IF(AND(J28&gt;=EOMONTH(CK28,-1)+1,I28&lt;=EOMONTH(CK28,0)),
CJ28*
(MAX(0,MIN(J28,EOMONTH(CK28,0)) - MAX(I28,EOMONTH(CK28,-1)+1) + 1)
/
DAY(EOMONTH(CK28,0))
),
0))</f>
        <v>0</v>
      </c>
    </row>
    <row r="29" spans="1:90" x14ac:dyDescent="0.2">
      <c r="A29" s="58">
        <v>27</v>
      </c>
      <c r="B29" s="58" t="s">
        <v>142</v>
      </c>
      <c r="C29" s="6">
        <v>44515</v>
      </c>
      <c r="D29" s="3">
        <f ca="1">DATEDIF(C29,TODAY(),"Y") + DATEDIF(C29,TODAY(),"YM")/10</f>
        <v>4.5999999999999996</v>
      </c>
      <c r="E29" s="58" t="s">
        <v>143</v>
      </c>
      <c r="F29" s="3">
        <v>7030021515</v>
      </c>
      <c r="G29" s="7">
        <v>45962</v>
      </c>
      <c r="H29" s="7" t="str">
        <f ca="1">DATEDIF(G29,TODAY(),"M") &amp; " Months"</f>
        <v>6 Months</v>
      </c>
      <c r="I29" s="4">
        <v>45962</v>
      </c>
      <c r="J29" s="4">
        <f>EDATE(I29,3)</f>
        <v>46054</v>
      </c>
      <c r="M29" s="3">
        <f>I29+L29</f>
        <v>45962</v>
      </c>
      <c r="N29" s="9">
        <f ca="1">L29-(TODAY()-I29)</f>
        <v>-211</v>
      </c>
      <c r="O29" s="8" t="str">
        <f ca="1">IF(J29="","",
IF(TODAY()&lt;=J29,"Active",
IF(N29&gt;0,"Grace",
IF(N29&gt;-30,"Inactive","Freeze"))))</f>
        <v>Freeze</v>
      </c>
      <c r="P29" s="10"/>
      <c r="Q29" s="11">
        <f>COUNTA(T29:CA29)</f>
        <v>12</v>
      </c>
      <c r="R29" s="3">
        <f>K29-Q29</f>
        <v>-12</v>
      </c>
      <c r="S29" s="8" t="str">
        <f>IF(Q29&gt;=K29,"Complete","Incomplete")</f>
        <v>Complete</v>
      </c>
      <c r="T29" s="14">
        <v>46329</v>
      </c>
      <c r="U29" s="3" t="s">
        <v>98</v>
      </c>
      <c r="V29" s="3" t="s">
        <v>98</v>
      </c>
      <c r="W29" s="3" t="s">
        <v>98</v>
      </c>
      <c r="X29" s="3" t="s">
        <v>98</v>
      </c>
      <c r="Y29" s="3" t="s">
        <v>98</v>
      </c>
      <c r="Z29" s="3" t="s">
        <v>98</v>
      </c>
      <c r="AA29" s="3" t="s">
        <v>98</v>
      </c>
      <c r="AB29" s="3" t="s">
        <v>98</v>
      </c>
      <c r="AC29" s="3" t="s">
        <v>98</v>
      </c>
      <c r="AD29" s="3" t="s">
        <v>98</v>
      </c>
      <c r="AE29" s="14">
        <v>46144</v>
      </c>
      <c r="CI29" s="4" t="str">
        <f t="shared" si="0"/>
        <v>3</v>
      </c>
      <c r="CJ29" s="13" t="str">
        <f>IF(OR(P29="",CI29=""),"",P29/CI29)</f>
        <v/>
      </c>
      <c r="CK29" s="5">
        <f t="shared" ca="1" si="1"/>
        <v>46173</v>
      </c>
      <c r="CL29" s="13" t="str">
        <f ca="1">IF(OR(I29="",J29="",CJ29="",CK29=""),"",
IF(AND(J29&gt;=EOMONTH(CK29,-1)+1,I29&lt;=EOMONTH(CK29,0)),
CJ29*
(MAX(0,MIN(J29,EOMONTH(CK29,0)) - MAX(I29,EOMONTH(CK29,-1)+1) + 1)
/
DAY(EOMONTH(CK29,0))
),
0))</f>
        <v/>
      </c>
    </row>
    <row r="30" spans="1:90" x14ac:dyDescent="0.2">
      <c r="A30" s="58">
        <v>29</v>
      </c>
      <c r="B30" s="58" t="s">
        <v>144</v>
      </c>
      <c r="C30" s="6">
        <v>43038</v>
      </c>
      <c r="D30" s="3">
        <f ca="1">DATEDIF(C30,TODAY(),"Y") + DATEDIF(C30,TODAY(),"YM")/10</f>
        <v>8.6999999999999993</v>
      </c>
      <c r="E30" s="58" t="s">
        <v>145</v>
      </c>
      <c r="F30" s="3">
        <v>9158000781</v>
      </c>
      <c r="G30" s="7">
        <v>45964</v>
      </c>
      <c r="H30" s="7" t="str">
        <f ca="1">DATEDIF(G30,TODAY(),"M") &amp; " Months"</f>
        <v>6 Months</v>
      </c>
      <c r="I30" s="4">
        <v>45998</v>
      </c>
      <c r="J30" s="4">
        <f>EDATE(I30,3)</f>
        <v>46088</v>
      </c>
      <c r="M30" s="3">
        <f>I30+L30</f>
        <v>45998</v>
      </c>
      <c r="N30" s="9">
        <f ca="1">L30-(TODAY()-I30)</f>
        <v>-175</v>
      </c>
      <c r="O30" s="8" t="str">
        <f ca="1">IF(J30="","",
IF(TODAY()&lt;=J30,"Active",
IF(N30&gt;0,"Grace",
IF(N30&gt;-30,"Inactive","Freeze"))))</f>
        <v>Freeze</v>
      </c>
      <c r="P30" s="10"/>
      <c r="Q30" s="11">
        <f>COUNTA(T30:CA30)</f>
        <v>24</v>
      </c>
      <c r="R30" s="3">
        <f>K30-Q30</f>
        <v>-24</v>
      </c>
      <c r="S30" s="8" t="str">
        <f>IF(Q30&gt;=K30,"Complete","Incomplete")</f>
        <v>Complete</v>
      </c>
      <c r="T30" s="14">
        <v>46363</v>
      </c>
      <c r="U30" s="3" t="s">
        <v>98</v>
      </c>
      <c r="V30" s="3" t="s">
        <v>98</v>
      </c>
      <c r="W30" s="3" t="s">
        <v>98</v>
      </c>
      <c r="X30" s="3" t="s">
        <v>98</v>
      </c>
      <c r="Y30" s="3" t="s">
        <v>98</v>
      </c>
      <c r="Z30" s="14">
        <v>46029</v>
      </c>
      <c r="AA30" s="3" t="s">
        <v>98</v>
      </c>
      <c r="AB30" s="3" t="s">
        <v>98</v>
      </c>
      <c r="AC30" s="3" t="s">
        <v>98</v>
      </c>
      <c r="AD30" s="3" t="s">
        <v>98</v>
      </c>
      <c r="AE30" s="3" t="s">
        <v>98</v>
      </c>
      <c r="AF30" s="3" t="s">
        <v>98</v>
      </c>
      <c r="AG30" s="3" t="s">
        <v>98</v>
      </c>
      <c r="AH30" s="3" t="s">
        <v>98</v>
      </c>
      <c r="AI30" s="3" t="s">
        <v>98</v>
      </c>
      <c r="AJ30" s="3" t="s">
        <v>98</v>
      </c>
      <c r="AK30" s="3" t="s">
        <v>98</v>
      </c>
      <c r="AL30" s="3" t="s">
        <v>98</v>
      </c>
      <c r="AM30" s="3" t="s">
        <v>98</v>
      </c>
      <c r="AN30" s="14">
        <v>46080</v>
      </c>
      <c r="AO30" s="14">
        <v>46090</v>
      </c>
      <c r="AP30" s="14">
        <v>46138</v>
      </c>
      <c r="AQ30" s="14">
        <v>46152</v>
      </c>
      <c r="CI30" s="4" t="str">
        <f t="shared" si="0"/>
        <v>3</v>
      </c>
      <c r="CJ30" s="13" t="str">
        <f>IF(OR(P30="",CI30=""),"",P30/CI30)</f>
        <v/>
      </c>
      <c r="CK30" s="5">
        <f t="shared" ca="1" si="1"/>
        <v>46173</v>
      </c>
      <c r="CL30" s="13" t="str">
        <f ca="1">IF(OR(I30="",J30="",CJ30="",CK30=""),"",
IF(AND(J30&gt;=EOMONTH(CK30,-1)+1,I30&lt;=EOMONTH(CK30,0)),
CJ30*
(MAX(0,MIN(J30,EOMONTH(CK30,0)) - MAX(I30,EOMONTH(CK30,-1)+1) + 1)
/
DAY(EOMONTH(CK30,0))
),
0))</f>
        <v/>
      </c>
    </row>
    <row r="31" spans="1:90" x14ac:dyDescent="0.2">
      <c r="A31" s="58">
        <v>31</v>
      </c>
      <c r="B31" s="58" t="s">
        <v>146</v>
      </c>
      <c r="C31" s="6">
        <v>42900</v>
      </c>
      <c r="D31" s="3">
        <f ca="1">DATEDIF(C31,TODAY(),"Y") + DATEDIF(C31,TODAY(),"YM")/10</f>
        <v>9.1</v>
      </c>
      <c r="E31" s="58" t="s">
        <v>147</v>
      </c>
      <c r="F31" s="3">
        <v>8830654652</v>
      </c>
      <c r="G31" s="7">
        <v>45965</v>
      </c>
      <c r="H31" s="7" t="str">
        <f ca="1">DATEDIF(G31,TODAY(),"M") &amp; " Months"</f>
        <v>6 Months</v>
      </c>
      <c r="I31" s="4">
        <v>46085</v>
      </c>
      <c r="J31" s="4">
        <f>EDATE(I31,1)</f>
        <v>46116</v>
      </c>
      <c r="K31" s="8">
        <v>12</v>
      </c>
      <c r="L31" s="8">
        <v>36</v>
      </c>
      <c r="M31" s="3">
        <f>I31+L31</f>
        <v>46121</v>
      </c>
      <c r="N31" s="9">
        <f ca="1">L31-(TODAY()-I31)</f>
        <v>-52</v>
      </c>
      <c r="O31" s="8" t="str">
        <f ca="1">IF(J31="","",
IF(TODAY()&lt;=J31,"Active",
IF(N31&gt;0,"Grace",
IF(N31&gt;-30,"Inactive","Freeze"))))</f>
        <v>Freeze</v>
      </c>
      <c r="P31" s="10">
        <v>3200</v>
      </c>
      <c r="Q31" s="11">
        <f>COUNTA(T31:CA31)</f>
        <v>14</v>
      </c>
      <c r="R31" s="3">
        <f>K31-Q31</f>
        <v>-2</v>
      </c>
      <c r="S31" s="8" t="str">
        <f>IF(Q31&gt;=K31,"Complete","Incomplete")</f>
        <v>Complete</v>
      </c>
      <c r="T31" s="14">
        <v>46085</v>
      </c>
      <c r="U31" s="14">
        <v>46086</v>
      </c>
      <c r="V31" s="14">
        <v>46091</v>
      </c>
      <c r="W31" s="14">
        <v>46093</v>
      </c>
      <c r="X31" s="14">
        <v>46096</v>
      </c>
      <c r="Y31" s="14">
        <v>46103</v>
      </c>
      <c r="Z31" s="14">
        <v>46105</v>
      </c>
      <c r="AA31" s="14">
        <v>46107</v>
      </c>
      <c r="AB31" s="14">
        <v>46110</v>
      </c>
      <c r="AC31" s="14">
        <v>46111</v>
      </c>
      <c r="AD31" s="14">
        <v>46117</v>
      </c>
      <c r="AE31" s="14">
        <v>46119</v>
      </c>
      <c r="AF31" s="14">
        <v>46121</v>
      </c>
      <c r="AG31" s="14">
        <v>46163</v>
      </c>
      <c r="CI31" s="4" t="str">
        <f t="shared" si="0"/>
        <v>1</v>
      </c>
      <c r="CJ31" s="13">
        <f>IF(OR(P31="",CI31=""),"",P31/CI31)</f>
        <v>3200</v>
      </c>
      <c r="CK31" s="5">
        <f t="shared" ca="1" si="1"/>
        <v>46173</v>
      </c>
      <c r="CL31" s="13">
        <f ca="1">IF(OR(I31="",J31="",CJ31="",CK31=""),"",
IF(AND(J31&gt;=EOMONTH(CK31,-1)+1,I31&lt;=EOMONTH(CK31,0)),
CJ31*
(MAX(0,MIN(J31,EOMONTH(CK31,0)) - MAX(I31,EOMONTH(CK31,-1)+1) + 1)
/
DAY(EOMONTH(CK31,0))
),
0))</f>
        <v>0</v>
      </c>
    </row>
    <row r="32" spans="1:90" x14ac:dyDescent="0.2">
      <c r="A32" s="58">
        <v>32</v>
      </c>
      <c r="B32" s="58" t="s">
        <v>148</v>
      </c>
      <c r="C32" s="6">
        <v>44464</v>
      </c>
      <c r="D32" s="3">
        <f ca="1">DATEDIF(C32,TODAY(),"Y") + DATEDIF(C32,TODAY(),"YM")/10</f>
        <v>4.8</v>
      </c>
      <c r="E32" s="58" t="s">
        <v>149</v>
      </c>
      <c r="F32" s="3">
        <v>7498102325</v>
      </c>
      <c r="G32" s="7">
        <v>45966</v>
      </c>
      <c r="H32" s="7" t="str">
        <f ca="1">DATEDIF(G32,TODAY(),"M") &amp; " Months"</f>
        <v>6 Months</v>
      </c>
      <c r="I32" s="4">
        <v>46113</v>
      </c>
      <c r="J32" s="4">
        <f>EDATE(I32,1)</f>
        <v>46143</v>
      </c>
      <c r="K32" s="8">
        <v>12</v>
      </c>
      <c r="L32" s="8">
        <v>36</v>
      </c>
      <c r="M32" s="3">
        <f>I32+L32</f>
        <v>46149</v>
      </c>
      <c r="N32" s="9">
        <f ca="1">L32-(TODAY()-I32)</f>
        <v>-24</v>
      </c>
      <c r="O32" s="8" t="str">
        <f ca="1">IF(J32="","",
IF(TODAY()&lt;=J32,"Active",
IF(N32&gt;0,"Grace",
IF(N32&gt;-30,"Inactive","Freeze"))))</f>
        <v>Inactive</v>
      </c>
      <c r="P32" s="10">
        <v>3200</v>
      </c>
      <c r="Q32" s="11">
        <f>COUNTA(T32:CA32)</f>
        <v>11</v>
      </c>
      <c r="R32" s="3">
        <f>K32-Q32</f>
        <v>1</v>
      </c>
      <c r="S32" s="8" t="str">
        <f>IF(Q32&gt;=K32,"Complete","Incomplete")</f>
        <v>Incomplete</v>
      </c>
      <c r="T32" s="14">
        <v>46113</v>
      </c>
      <c r="U32" s="14">
        <v>46118</v>
      </c>
      <c r="V32" s="14">
        <v>46119</v>
      </c>
      <c r="W32" s="14">
        <v>46121</v>
      </c>
      <c r="X32" s="14">
        <v>46122</v>
      </c>
      <c r="Y32" s="14">
        <v>46125</v>
      </c>
      <c r="Z32" s="14">
        <v>46132</v>
      </c>
      <c r="AA32" s="14">
        <v>46133</v>
      </c>
      <c r="AB32" s="14">
        <v>46134</v>
      </c>
      <c r="AC32" s="14">
        <v>46135</v>
      </c>
      <c r="AD32" s="14">
        <v>46136</v>
      </c>
      <c r="CI32" s="4" t="str">
        <f t="shared" si="0"/>
        <v>1</v>
      </c>
      <c r="CJ32" s="13">
        <f>IF(OR(P32="",CI32=""),"",P32/CI32)</f>
        <v>3200</v>
      </c>
      <c r="CK32" s="5">
        <f t="shared" ca="1" si="1"/>
        <v>46173</v>
      </c>
      <c r="CL32" s="13">
        <f ca="1">IF(OR(I32="",J32="",CJ32="",CK32=""),"",
IF(AND(J32&gt;=EOMONTH(CK32,-1)+1,I32&lt;=EOMONTH(CK32,0)),
CJ32*
(MAX(0,MIN(J32,EOMONTH(CK32,0)) - MAX(I32,EOMONTH(CK32,-1)+1) + 1)
/
DAY(EOMONTH(CK32,0))
),
0))</f>
        <v>103.2258064516129</v>
      </c>
    </row>
    <row r="33" spans="1:90" x14ac:dyDescent="0.2">
      <c r="A33" s="58">
        <v>33</v>
      </c>
      <c r="B33" s="58" t="s">
        <v>150</v>
      </c>
      <c r="C33" s="6">
        <v>45104</v>
      </c>
      <c r="D33" s="3">
        <f ca="1">DATEDIF(C33,TODAY(),"Y") + DATEDIF(C33,TODAY(),"YM")/10</f>
        <v>3.1</v>
      </c>
      <c r="E33" s="58" t="s">
        <v>151</v>
      </c>
      <c r="F33" s="3">
        <v>8830582510</v>
      </c>
      <c r="G33" s="7">
        <v>45966</v>
      </c>
      <c r="H33" s="7" t="str">
        <f ca="1">DATEDIF(G33,TODAY(),"M") &amp; " Months"</f>
        <v>6 Months</v>
      </c>
      <c r="I33" s="4">
        <v>46149</v>
      </c>
      <c r="J33" s="4">
        <f>EDATE(I33,1)</f>
        <v>46180</v>
      </c>
      <c r="K33" s="8">
        <v>8</v>
      </c>
      <c r="L33" s="8">
        <v>34</v>
      </c>
      <c r="M33" s="3">
        <f>I33+L33</f>
        <v>46183</v>
      </c>
      <c r="N33" s="9">
        <f ca="1">L33-(TODAY()-I33)</f>
        <v>10</v>
      </c>
      <c r="O33" s="8" t="str">
        <f ca="1">IF(J33="","",
IF(TODAY()&lt;=J33,"Active",
IF(N33&gt;0,"Grace",
IF(N33&gt;-30,"Inactive","Freeze"))))</f>
        <v>Active</v>
      </c>
      <c r="P33" s="10">
        <v>2600</v>
      </c>
      <c r="Q33" s="11">
        <f>COUNTA(T33:CA33)</f>
        <v>5</v>
      </c>
      <c r="R33" s="3">
        <f>K33-Q33</f>
        <v>3</v>
      </c>
      <c r="S33" s="8" t="str">
        <f>IF(Q33&gt;=K33,"Complete","Incomplete")</f>
        <v>Incomplete</v>
      </c>
      <c r="T33" s="14">
        <v>46148</v>
      </c>
      <c r="U33" s="14">
        <v>46149</v>
      </c>
      <c r="V33" s="14">
        <v>46155</v>
      </c>
      <c r="W33" s="14">
        <v>46158</v>
      </c>
      <c r="X33" s="14">
        <v>46169</v>
      </c>
      <c r="AB33" s="14"/>
      <c r="CI33" s="4" t="str">
        <f t="shared" si="0"/>
        <v>1</v>
      </c>
      <c r="CJ33" s="13">
        <f>IF(OR(P33="",CI33=""),"",P33/CI33)</f>
        <v>2600</v>
      </c>
      <c r="CK33" s="5">
        <f t="shared" ca="1" si="1"/>
        <v>46173</v>
      </c>
      <c r="CL33" s="13">
        <f ca="1">IF(OR(I33="",J33="",CJ33="",CK33=""),"",
IF(AND(J33&gt;=EOMONTH(CK33,-1)+1,I33&lt;=EOMONTH(CK33,0)),
CJ33*
(MAX(0,MIN(J33,EOMONTH(CK33,0)) - MAX(I33,EOMONTH(CK33,-1)+1) + 1)
/
DAY(EOMONTH(CK33,0))
),
0))</f>
        <v>2096.7741935483868</v>
      </c>
    </row>
    <row r="34" spans="1:90" x14ac:dyDescent="0.2">
      <c r="A34" s="58">
        <v>34</v>
      </c>
      <c r="B34" s="58" t="s">
        <v>152</v>
      </c>
      <c r="C34" s="6">
        <v>42139</v>
      </c>
      <c r="D34" s="3">
        <f ca="1">DATEDIF(C34,TODAY(),"Y") + DATEDIF(C34,TODAY(),"YM")/10</f>
        <v>11</v>
      </c>
      <c r="E34" s="58" t="s">
        <v>153</v>
      </c>
      <c r="F34" s="3">
        <v>9096642028</v>
      </c>
      <c r="G34" s="7">
        <v>45964</v>
      </c>
      <c r="H34" s="7" t="str">
        <f ca="1">DATEDIF(G34,TODAY(),"M") &amp; " Months"</f>
        <v>6 Months</v>
      </c>
      <c r="I34" s="4">
        <v>46028</v>
      </c>
      <c r="J34" s="4">
        <f>EDATE(I34,1)</f>
        <v>46059</v>
      </c>
      <c r="M34" s="3">
        <f>I34+L34</f>
        <v>46028</v>
      </c>
      <c r="N34" s="9">
        <f ca="1">L34-(TODAY()-I34)</f>
        <v>-145</v>
      </c>
      <c r="O34" s="8" t="str">
        <f ca="1">IF(J34="","",
IF(TODAY()&lt;=J34,"Active",
IF(N34&gt;0,"Grace",
IF(N34&gt;-30,"Inactive","Freeze"))))</f>
        <v>Freeze</v>
      </c>
      <c r="P34" s="10"/>
      <c r="Q34" s="11">
        <f>COUNTA(T34:CA34)</f>
        <v>12</v>
      </c>
      <c r="R34" s="3">
        <f>K34-Q34</f>
        <v>-12</v>
      </c>
      <c r="S34" s="8" t="str">
        <f>IF(Q34&gt;=K34,"Complete","Incomplete")</f>
        <v>Complete</v>
      </c>
      <c r="T34" s="14">
        <v>46028</v>
      </c>
      <c r="U34" s="3" t="s">
        <v>98</v>
      </c>
      <c r="V34" s="3" t="s">
        <v>98</v>
      </c>
      <c r="W34" s="3" t="s">
        <v>98</v>
      </c>
      <c r="X34" s="3" t="s">
        <v>98</v>
      </c>
      <c r="Y34" s="3" t="s">
        <v>98</v>
      </c>
      <c r="Z34" s="3" t="s">
        <v>98</v>
      </c>
      <c r="AA34" s="3" t="s">
        <v>98</v>
      </c>
      <c r="AB34" s="3" t="s">
        <v>98</v>
      </c>
      <c r="AC34" s="3" t="s">
        <v>98</v>
      </c>
      <c r="AD34" s="3" t="s">
        <v>98</v>
      </c>
      <c r="AE34" s="3" t="s">
        <v>98</v>
      </c>
      <c r="CI34" s="4" t="str">
        <f t="shared" si="0"/>
        <v>1</v>
      </c>
      <c r="CJ34" s="13" t="str">
        <f>IF(OR(P34="",CI34=""),"",P34/CI34)</f>
        <v/>
      </c>
      <c r="CK34" s="5">
        <f t="shared" ca="1" si="1"/>
        <v>46173</v>
      </c>
      <c r="CL34" s="13" t="str">
        <f ca="1">IF(OR(I34="",J34="",CJ34="",CK34=""),"",
IF(AND(J34&gt;=EOMONTH(CK34,-1)+1,I34&lt;=EOMONTH(CK34,0)),
CJ34*
(MAX(0,MIN(J34,EOMONTH(CK34,0)) - MAX(I34,EOMONTH(CK34,-1)+1) + 1)
/
DAY(EOMONTH(CK34,0))
),
0))</f>
        <v/>
      </c>
    </row>
    <row r="35" spans="1:90" x14ac:dyDescent="0.2">
      <c r="A35" s="58">
        <v>35</v>
      </c>
      <c r="B35" s="58" t="s">
        <v>154</v>
      </c>
      <c r="C35" s="6">
        <v>44638</v>
      </c>
      <c r="D35" s="3">
        <f ca="1">DATEDIF(C35,TODAY(),"Y") + DATEDIF(C35,TODAY(),"YM")/10</f>
        <v>4.2</v>
      </c>
      <c r="E35" s="58" t="s">
        <v>155</v>
      </c>
      <c r="F35" s="3">
        <v>8744922230</v>
      </c>
      <c r="G35" s="7">
        <v>45966</v>
      </c>
      <c r="H35" s="7" t="str">
        <f ca="1">DATEDIF(G35,TODAY(),"M") &amp; " Months"</f>
        <v>6 Months</v>
      </c>
      <c r="I35" s="4">
        <v>46029</v>
      </c>
      <c r="J35" s="4">
        <f>EDATE(I35,1)</f>
        <v>46060</v>
      </c>
      <c r="M35" s="3">
        <f>I35+L35</f>
        <v>46029</v>
      </c>
      <c r="N35" s="9">
        <f ca="1">L35-(TODAY()-I35)</f>
        <v>-144</v>
      </c>
      <c r="O35" s="8" t="str">
        <f ca="1">IF(J35="","",
IF(TODAY()&lt;=J35,"Active",
IF(N35&gt;0,"Grace",
IF(N35&gt;-30,"Inactive","Freeze"))))</f>
        <v>Freeze</v>
      </c>
      <c r="P35" s="10"/>
      <c r="Q35" s="11">
        <f>COUNTA(T35:CA35)</f>
        <v>10</v>
      </c>
      <c r="R35" s="3">
        <f>K35-Q35</f>
        <v>-10</v>
      </c>
      <c r="S35" s="8" t="str">
        <f>IF(Q35&gt;=K35,"Complete","Incomplete")</f>
        <v>Complete</v>
      </c>
      <c r="T35" s="14">
        <v>46029</v>
      </c>
      <c r="U35" s="3" t="s">
        <v>98</v>
      </c>
      <c r="V35" s="3" t="s">
        <v>98</v>
      </c>
      <c r="W35" s="3" t="s">
        <v>98</v>
      </c>
      <c r="X35" s="3" t="s">
        <v>98</v>
      </c>
      <c r="Y35" s="3" t="s">
        <v>98</v>
      </c>
      <c r="Z35" s="3" t="s">
        <v>98</v>
      </c>
      <c r="AA35" s="3" t="s">
        <v>98</v>
      </c>
      <c r="AB35" s="3" t="s">
        <v>98</v>
      </c>
      <c r="AC35" s="3" t="s">
        <v>98</v>
      </c>
      <c r="CI35" s="4" t="str">
        <f t="shared" si="0"/>
        <v>1</v>
      </c>
      <c r="CJ35" s="13" t="str">
        <f>IF(OR(P35="",CI35=""),"",P35/CI35)</f>
        <v/>
      </c>
      <c r="CK35" s="5">
        <f t="shared" ca="1" si="1"/>
        <v>46173</v>
      </c>
      <c r="CL35" s="13" t="str">
        <f ca="1">IF(OR(I35="",J35="",CJ35="",CK35=""),"",
IF(AND(J35&gt;=EOMONTH(CK35,-1)+1,I35&lt;=EOMONTH(CK35,0)),
CJ35*
(MAX(0,MIN(J35,EOMONTH(CK35,0)) - MAX(I35,EOMONTH(CK35,-1)+1) + 1)
/
DAY(EOMONTH(CK35,0))
),
0))</f>
        <v/>
      </c>
    </row>
    <row r="36" spans="1:90" x14ac:dyDescent="0.2">
      <c r="A36" s="58">
        <v>37</v>
      </c>
      <c r="B36" s="58" t="s">
        <v>156</v>
      </c>
      <c r="D36" s="3">
        <f ca="1">DATEDIF(C36,TODAY(),"Y") + DATEDIF(C36,TODAY(),"YM")/10</f>
        <v>126.4</v>
      </c>
      <c r="E36" s="58" t="s">
        <v>91</v>
      </c>
      <c r="F36" s="1">
        <v>9767560623</v>
      </c>
      <c r="H36" s="7" t="str">
        <f ca="1">DATEDIF(G36,TODAY(),"M") &amp; " Months"</f>
        <v>1516 Months</v>
      </c>
      <c r="J36" s="4">
        <f>EDATE(I36,3)</f>
        <v>91</v>
      </c>
      <c r="M36" s="3">
        <f>I36+L36</f>
        <v>0</v>
      </c>
      <c r="N36" s="9">
        <f ca="1">L36-(TODAY()-I36)</f>
        <v>-46173</v>
      </c>
      <c r="O36" s="8" t="str">
        <f ca="1">IF(J36="","",
IF(TODAY()&lt;=J36,"Active",
IF(N36&gt;0,"Grace",
IF(N36&gt;-30,"Inactive","Freeze"))))</f>
        <v>Freeze</v>
      </c>
      <c r="P36" s="10"/>
      <c r="Q36" s="11">
        <f>COUNTA(T36:CA36)</f>
        <v>1</v>
      </c>
      <c r="R36" s="3">
        <f>K36-Q36</f>
        <v>-1</v>
      </c>
      <c r="S36" s="8" t="str">
        <f>IF(Q36&gt;=K36,"Complete","Incomplete")</f>
        <v>Complete</v>
      </c>
      <c r="T36" s="14">
        <v>46138</v>
      </c>
      <c r="CI36" s="4" t="str">
        <f t="shared" si="0"/>
        <v/>
      </c>
      <c r="CJ36" s="13" t="str">
        <f>IF(OR(P36="",CI36=""),"",P36/CI36)</f>
        <v/>
      </c>
      <c r="CK36" s="5">
        <f t="shared" ca="1" si="1"/>
        <v>46173</v>
      </c>
      <c r="CL36" s="13" t="str">
        <f ca="1">IF(OR(I36="",J36="",CJ36="",CK36=""),"",
IF(AND(J36&gt;=EOMONTH(CK36,-1)+1,I36&lt;=EOMONTH(CK36,0)),
CJ36*
(MAX(0,MIN(J36,EOMONTH(CK36,0)) - MAX(I36,EOMONTH(CK36,-1)+1) + 1)
/
DAY(EOMONTH(CK36,0))
),
0))</f>
        <v/>
      </c>
    </row>
    <row r="37" spans="1:90" x14ac:dyDescent="0.2">
      <c r="A37" s="58">
        <v>38</v>
      </c>
      <c r="B37" s="58" t="s">
        <v>157</v>
      </c>
      <c r="C37" s="6">
        <v>42703</v>
      </c>
      <c r="D37" s="3">
        <f ca="1">DATEDIF(C37,TODAY(),"Y") + DATEDIF(C37,TODAY(),"YM")/10</f>
        <v>9.6</v>
      </c>
      <c r="E37" s="58" t="s">
        <v>158</v>
      </c>
      <c r="F37" s="3">
        <v>9209866432</v>
      </c>
      <c r="G37" s="7">
        <v>46020</v>
      </c>
      <c r="H37" s="7" t="str">
        <f ca="1">DATEDIF(G37,TODAY(),"M") &amp; " Months"</f>
        <v>5 Months</v>
      </c>
      <c r="I37" s="4">
        <v>46067</v>
      </c>
      <c r="J37" s="4">
        <f>EDATE(I37,1)</f>
        <v>46095</v>
      </c>
      <c r="K37" s="8">
        <v>12</v>
      </c>
      <c r="L37" s="8">
        <v>36</v>
      </c>
      <c r="M37" s="3">
        <f>I37+L37</f>
        <v>46103</v>
      </c>
      <c r="N37" s="9">
        <f ca="1">L37-(TODAY()-I37)</f>
        <v>-70</v>
      </c>
      <c r="O37" s="8" t="str">
        <f ca="1">IF(J37="","",
IF(TODAY()&lt;=J37,"Active",
IF(N37&gt;0,"Grace",
IF(N37&gt;-30,"Inactive","Freeze"))))</f>
        <v>Freeze</v>
      </c>
      <c r="P37" s="10"/>
      <c r="Q37" s="11">
        <f>COUNTA(T37:CA37)</f>
        <v>9</v>
      </c>
      <c r="R37" s="3">
        <f>K37-Q37</f>
        <v>3</v>
      </c>
      <c r="S37" s="8" t="str">
        <f>IF(Q37&gt;=K37,"Complete","Incomplete")</f>
        <v>Incomplete</v>
      </c>
      <c r="T37" s="14">
        <v>46067</v>
      </c>
      <c r="U37" s="3" t="s">
        <v>98</v>
      </c>
      <c r="V37" s="3" t="s">
        <v>98</v>
      </c>
      <c r="W37" s="3" t="s">
        <v>98</v>
      </c>
      <c r="X37" s="3" t="s">
        <v>98</v>
      </c>
      <c r="Y37" s="3" t="s">
        <v>98</v>
      </c>
      <c r="Z37" s="3" t="s">
        <v>98</v>
      </c>
      <c r="AA37" s="3" t="s">
        <v>98</v>
      </c>
      <c r="AB37" s="14">
        <v>46112</v>
      </c>
      <c r="CI37" s="4" t="str">
        <f t="shared" si="0"/>
        <v>1</v>
      </c>
      <c r="CJ37" s="13" t="str">
        <f>IF(OR(P37="",CI37=""),"",P37/CI37)</f>
        <v/>
      </c>
      <c r="CK37" s="5">
        <f t="shared" ca="1" si="1"/>
        <v>46173</v>
      </c>
      <c r="CL37" s="13" t="str">
        <f ca="1">IF(OR(I37="",J37="",CJ37="",CK37=""),"",
IF(AND(J37&gt;=EOMONTH(CK37,-1)+1,I37&lt;=EOMONTH(CK37,0)),
CJ37*
(MAX(0,MIN(J37,EOMONTH(CK37,0)) - MAX(I37,EOMONTH(CK37,-1)+1) + 1)
/
DAY(EOMONTH(CK37,0))
),
0))</f>
        <v/>
      </c>
    </row>
    <row r="38" spans="1:90" x14ac:dyDescent="0.2">
      <c r="A38" s="58">
        <v>40</v>
      </c>
      <c r="B38" s="58" t="s">
        <v>159</v>
      </c>
      <c r="C38" s="6">
        <v>42322</v>
      </c>
      <c r="D38" s="3">
        <f ca="1">DATEDIF(C38,TODAY(),"Y") + DATEDIF(C38,TODAY(),"YM")/10</f>
        <v>10.6</v>
      </c>
      <c r="E38" s="58" t="s">
        <v>160</v>
      </c>
      <c r="F38" s="3">
        <v>9811227980</v>
      </c>
      <c r="G38" s="7">
        <v>45979</v>
      </c>
      <c r="H38" s="7" t="str">
        <f ca="1">DATEDIF(G38,TODAY(),"M") &amp; " Months"</f>
        <v>6 Months</v>
      </c>
      <c r="I38" s="4">
        <v>46122</v>
      </c>
      <c r="J38" s="4">
        <f>EDATE(I38,1)</f>
        <v>46152</v>
      </c>
      <c r="K38" s="8">
        <v>10</v>
      </c>
      <c r="L38" s="8">
        <v>24</v>
      </c>
      <c r="M38" s="3">
        <f>I38+L38</f>
        <v>46146</v>
      </c>
      <c r="N38" s="9">
        <f ca="1">L38-(TODAY()-I38)</f>
        <v>-27</v>
      </c>
      <c r="O38" s="8" t="str">
        <f ca="1">IF(J38="","",
IF(TODAY()&lt;=J38,"Active",
IF(N38&gt;0,"Grace",
IF(N38&gt;-30,"Inactive","Freeze"))))</f>
        <v>Inactive</v>
      </c>
      <c r="P38" s="10">
        <v>2670</v>
      </c>
      <c r="Q38" s="11">
        <f>COUNTA(T38:CA38)</f>
        <v>8</v>
      </c>
      <c r="R38" s="3">
        <f>K38-Q38</f>
        <v>2</v>
      </c>
      <c r="S38" s="8" t="str">
        <f>IF(Q38&gt;=K38,"Complete","Incomplete")</f>
        <v>Incomplete</v>
      </c>
      <c r="T38" s="14">
        <v>46128</v>
      </c>
      <c r="U38" s="14">
        <v>46129</v>
      </c>
      <c r="V38" s="14">
        <v>46134</v>
      </c>
      <c r="W38" s="14">
        <v>46135</v>
      </c>
      <c r="X38" s="14">
        <v>46136</v>
      </c>
      <c r="Y38" s="14">
        <v>46139</v>
      </c>
      <c r="Z38" s="14">
        <v>46140</v>
      </c>
      <c r="AA38" s="14">
        <v>46141</v>
      </c>
      <c r="CI38" s="4" t="str">
        <f t="shared" si="0"/>
        <v>1</v>
      </c>
      <c r="CJ38" s="13">
        <f>IF(OR(P38="",CI38=""),"",P38/CI38)</f>
        <v>2670</v>
      </c>
      <c r="CK38" s="5">
        <f t="shared" ca="1" si="1"/>
        <v>46173</v>
      </c>
      <c r="CL38" s="13">
        <f ca="1">IF(OR(I38="",J38="",CJ38="",CK38=""),"",
IF(AND(J38&gt;=EOMONTH(CK38,-1)+1,I38&lt;=EOMONTH(CK38,0)),
CJ38*
(MAX(0,MIN(J38,EOMONTH(CK38,0)) - MAX(I38,EOMONTH(CK38,-1)+1) + 1)
/
DAY(EOMONTH(CK38,0))
),
0))</f>
        <v>861.29032258064512</v>
      </c>
    </row>
    <row r="39" spans="1:90" x14ac:dyDescent="0.2">
      <c r="A39" s="58">
        <v>44</v>
      </c>
      <c r="B39" s="58" t="s">
        <v>161</v>
      </c>
      <c r="C39" s="6">
        <v>41610</v>
      </c>
      <c r="D39" s="3">
        <f ca="1">DATEDIF(C39,TODAY(),"Y") + DATEDIF(C39,TODAY(),"YM")/10</f>
        <v>12.5</v>
      </c>
      <c r="E39" s="58" t="s">
        <v>162</v>
      </c>
      <c r="F39" s="3">
        <v>7904121086</v>
      </c>
      <c r="G39" s="7">
        <v>45982</v>
      </c>
      <c r="H39" s="7" t="str">
        <f ca="1">DATEDIF(G39,TODAY(),"M") &amp; " Months"</f>
        <v>6 Months</v>
      </c>
      <c r="I39" s="4">
        <v>46059</v>
      </c>
      <c r="J39" s="4">
        <f>EDATE(I39,1)</f>
        <v>46087</v>
      </c>
      <c r="M39" s="3">
        <f>I39+L39</f>
        <v>46059</v>
      </c>
      <c r="N39" s="9">
        <f ca="1">L39-(TODAY()-I39)</f>
        <v>-114</v>
      </c>
      <c r="O39" s="8" t="str">
        <f ca="1">IF(J39="","",
IF(TODAY()&lt;=J39,"Active",
IF(N39&gt;0,"Grace",
IF(N39&gt;-30,"Inactive","Freeze"))))</f>
        <v>Freeze</v>
      </c>
      <c r="P39" s="10"/>
      <c r="Q39" s="11">
        <f>COUNTA(T39:CA39)</f>
        <v>19</v>
      </c>
      <c r="R39" s="3">
        <f>K39-Q39</f>
        <v>-19</v>
      </c>
      <c r="S39" s="8" t="str">
        <f>IF(Q39&gt;=K39,"Complete","Incomplete")</f>
        <v>Complete</v>
      </c>
      <c r="T39" s="14">
        <v>46059</v>
      </c>
      <c r="U39" s="3" t="s">
        <v>98</v>
      </c>
      <c r="V39" s="3" t="s">
        <v>98</v>
      </c>
      <c r="W39" s="3" t="s">
        <v>98</v>
      </c>
      <c r="X39" s="3" t="s">
        <v>98</v>
      </c>
      <c r="Y39" s="3" t="s">
        <v>98</v>
      </c>
      <c r="Z39" s="3" t="s">
        <v>98</v>
      </c>
      <c r="AA39" s="3" t="s">
        <v>98</v>
      </c>
      <c r="AB39" s="3" t="s">
        <v>98</v>
      </c>
      <c r="AC39" s="3" t="s">
        <v>98</v>
      </c>
      <c r="AD39" s="3" t="s">
        <v>98</v>
      </c>
      <c r="AE39" s="14">
        <v>46082</v>
      </c>
      <c r="AF39" s="3" t="s">
        <v>98</v>
      </c>
      <c r="AG39" s="3" t="s">
        <v>98</v>
      </c>
      <c r="AH39" s="3" t="s">
        <v>98</v>
      </c>
      <c r="AI39" s="3" t="s">
        <v>98</v>
      </c>
      <c r="AJ39" s="3" t="s">
        <v>98</v>
      </c>
      <c r="AK39" s="3" t="s">
        <v>98</v>
      </c>
      <c r="AL39" s="14">
        <v>46110</v>
      </c>
      <c r="CI39" s="4" t="str">
        <f t="shared" si="0"/>
        <v>1</v>
      </c>
      <c r="CJ39" s="13" t="str">
        <f>IF(OR(P39="",CI39=""),"",P39/CI39)</f>
        <v/>
      </c>
      <c r="CK39" s="5">
        <f t="shared" ca="1" si="1"/>
        <v>46173</v>
      </c>
      <c r="CL39" s="13" t="str">
        <f ca="1">IF(OR(I39="",J39="",CJ39="",CK39=""),"",
IF(AND(J39&gt;=EOMONTH(CK39,-1)+1,I39&lt;=EOMONTH(CK39,0)),
CJ39*
(MAX(0,MIN(J39,EOMONTH(CK39,0)) - MAX(I39,EOMONTH(CK39,-1)+1) + 1)
/
DAY(EOMONTH(CK39,0))
),
0))</f>
        <v/>
      </c>
    </row>
    <row r="40" spans="1:90" x14ac:dyDescent="0.2">
      <c r="A40" s="58">
        <v>45</v>
      </c>
      <c r="B40" s="58" t="s">
        <v>163</v>
      </c>
      <c r="C40" s="6">
        <v>44814</v>
      </c>
      <c r="D40" s="3">
        <f ca="1">DATEDIF(C40,TODAY(),"Y") + DATEDIF(C40,TODAY(),"YM")/10</f>
        <v>3.8</v>
      </c>
      <c r="E40" s="58" t="s">
        <v>164</v>
      </c>
      <c r="F40" s="3">
        <v>9920352710</v>
      </c>
      <c r="G40" s="7">
        <v>45982</v>
      </c>
      <c r="H40" s="7" t="str">
        <f ca="1">DATEDIF(G40,TODAY(),"M") &amp; " Months"</f>
        <v>6 Months</v>
      </c>
      <c r="I40" s="4">
        <v>46154</v>
      </c>
      <c r="J40" s="4">
        <f>EDATE(I40,3)</f>
        <v>46246</v>
      </c>
      <c r="K40" s="8">
        <v>36</v>
      </c>
      <c r="L40" s="8">
        <v>108</v>
      </c>
      <c r="M40" s="3">
        <f>I40+L40</f>
        <v>46262</v>
      </c>
      <c r="N40" s="9">
        <f ca="1">L40-(TODAY()-I40)</f>
        <v>89</v>
      </c>
      <c r="O40" s="8" t="str">
        <f ca="1">IF(J40="","",
IF(TODAY()&lt;=J40,"Active",
IF(N40&gt;0,"Grace",
IF(N40&gt;-30,"Inactive","Freeze"))))</f>
        <v>Active</v>
      </c>
      <c r="P40" s="10">
        <v>8640</v>
      </c>
      <c r="Q40" s="11">
        <f>COUNTA(T40:CA40)</f>
        <v>6</v>
      </c>
      <c r="R40" s="3">
        <f>K40-Q40</f>
        <v>30</v>
      </c>
      <c r="S40" s="8" t="str">
        <f>IF(Q40&gt;=K40,"Complete","Incomplete")</f>
        <v>Incomplete</v>
      </c>
      <c r="T40" s="14">
        <v>46154</v>
      </c>
      <c r="U40" s="14">
        <v>46156</v>
      </c>
      <c r="V40" s="14">
        <v>46158</v>
      </c>
      <c r="W40" s="14">
        <v>46161</v>
      </c>
      <c r="X40" s="14">
        <v>46163</v>
      </c>
      <c r="Y40" s="14">
        <v>46168</v>
      </c>
      <c r="Z40" s="14"/>
      <c r="AA40" s="14"/>
      <c r="AB40" s="14"/>
      <c r="AC40" s="14"/>
      <c r="AD40" s="14"/>
      <c r="AE40" s="14"/>
      <c r="AF40" s="14"/>
      <c r="AG40" s="14"/>
      <c r="CI40" s="4" t="str">
        <f t="shared" si="0"/>
        <v>3</v>
      </c>
      <c r="CJ40" s="13">
        <f>IF(OR(P40="",CI40=""),"",P40/CI40)</f>
        <v>2880</v>
      </c>
      <c r="CK40" s="5">
        <f t="shared" ca="1" si="1"/>
        <v>46173</v>
      </c>
      <c r="CL40" s="13">
        <f ca="1">IF(OR(I40="",J40="",CJ40="",CK40=""),"",
IF(AND(J40&gt;=EOMONTH(CK40,-1)+1,I40&lt;=EOMONTH(CK40,0)),
CJ40*
(MAX(0,MIN(J40,EOMONTH(CK40,0)) - MAX(I40,EOMONTH(CK40,-1)+1) + 1)
/
DAY(EOMONTH(CK40,0))
),
0))</f>
        <v>1858.0645161290322</v>
      </c>
    </row>
    <row r="41" spans="1:90" x14ac:dyDescent="0.2">
      <c r="A41" s="58">
        <v>46</v>
      </c>
      <c r="B41" s="58" t="s">
        <v>165</v>
      </c>
      <c r="C41" s="6">
        <v>43779</v>
      </c>
      <c r="D41" s="3">
        <f ca="1">DATEDIF(C41,TODAY(),"Y") + DATEDIF(C41,TODAY(),"YM")/10</f>
        <v>6.6</v>
      </c>
      <c r="E41" s="58" t="s">
        <v>166</v>
      </c>
      <c r="F41" s="3">
        <v>8605684251</v>
      </c>
      <c r="G41" s="7">
        <v>45982</v>
      </c>
      <c r="H41" s="7" t="str">
        <f ca="1">DATEDIF(G41,TODAY(),"M") &amp; " Months"</f>
        <v>6 Months</v>
      </c>
      <c r="I41" s="4">
        <v>46132</v>
      </c>
      <c r="J41" s="4">
        <f>EDATE(I41,1)</f>
        <v>46162</v>
      </c>
      <c r="K41" s="8">
        <v>8</v>
      </c>
      <c r="L41" s="8">
        <v>34</v>
      </c>
      <c r="M41" s="3">
        <f>I41+L41</f>
        <v>46166</v>
      </c>
      <c r="N41" s="9">
        <f ca="1">L41-(TODAY()-I41)</f>
        <v>-7</v>
      </c>
      <c r="O41" s="8" t="str">
        <f ca="1">IF(J41="","",
IF(TODAY()&lt;=J41,"Active",
IF(N41&gt;0,"Grace",
IF(N41&gt;-30,"Inactive","Freeze"))))</f>
        <v>Inactive</v>
      </c>
      <c r="P41" s="10">
        <v>2600</v>
      </c>
      <c r="Q41" s="11">
        <f>COUNTA(T41:CA41)</f>
        <v>9</v>
      </c>
      <c r="R41" s="3">
        <f>K41-Q41</f>
        <v>-1</v>
      </c>
      <c r="S41" s="8" t="str">
        <f>IF(Q41&gt;=K41,"Complete","Incomplete")</f>
        <v>Complete</v>
      </c>
      <c r="T41" s="14">
        <v>46133</v>
      </c>
      <c r="U41" s="14">
        <v>46146</v>
      </c>
      <c r="V41" s="14">
        <v>46147</v>
      </c>
      <c r="W41" s="14">
        <v>46156</v>
      </c>
      <c r="X41" s="14">
        <v>46157</v>
      </c>
      <c r="Y41" s="14">
        <v>46161</v>
      </c>
      <c r="Z41" s="17">
        <v>46163</v>
      </c>
      <c r="AA41" s="14">
        <v>46168</v>
      </c>
      <c r="AB41" s="14">
        <v>46171</v>
      </c>
      <c r="AC41" s="14"/>
      <c r="CI41" s="4" t="str">
        <f t="shared" si="0"/>
        <v>1</v>
      </c>
      <c r="CJ41" s="13">
        <f>IF(OR(P41="",CI41=""),"",P41/CI41)</f>
        <v>2600</v>
      </c>
      <c r="CK41" s="5">
        <f t="shared" ca="1" si="1"/>
        <v>46173</v>
      </c>
      <c r="CL41" s="13">
        <f ca="1">IF(OR(I41="",J41="",CJ41="",CK41=""),"",
IF(AND(J41&gt;=EOMONTH(CK41,-1)+1,I41&lt;=EOMONTH(CK41,0)),
CJ41*
(MAX(0,MIN(J41,EOMONTH(CK41,0)) - MAX(I41,EOMONTH(CK41,-1)+1) + 1)
/
DAY(EOMONTH(CK41,0))
),
0))</f>
        <v>1677.4193548387095</v>
      </c>
    </row>
    <row r="42" spans="1:90" x14ac:dyDescent="0.2">
      <c r="A42" s="58">
        <v>47</v>
      </c>
      <c r="B42" s="58" t="s">
        <v>167</v>
      </c>
      <c r="C42" s="6">
        <v>41903</v>
      </c>
      <c r="D42" s="3">
        <f ca="1">DATEDIF(C42,TODAY(),"Y") + DATEDIF(C42,TODAY(),"YM")/10</f>
        <v>11.8</v>
      </c>
      <c r="E42" s="58" t="s">
        <v>168</v>
      </c>
      <c r="F42" s="3">
        <v>9975599000</v>
      </c>
      <c r="G42" s="7">
        <v>45988</v>
      </c>
      <c r="H42" s="7" t="str">
        <f ca="1">DATEDIF(G42,TODAY(),"M") &amp; " Months"</f>
        <v>6 Months</v>
      </c>
      <c r="I42" s="4">
        <v>46097</v>
      </c>
      <c r="J42" s="4">
        <f>EDATE(I42,1)</f>
        <v>46128</v>
      </c>
      <c r="K42" s="8">
        <v>12</v>
      </c>
      <c r="L42" s="8">
        <v>36</v>
      </c>
      <c r="M42" s="3">
        <f>I42+L42</f>
        <v>46133</v>
      </c>
      <c r="N42" s="9">
        <f ca="1">L42-(TODAY()-I42)</f>
        <v>-40</v>
      </c>
      <c r="O42" s="8" t="str">
        <f ca="1">IF(J42="","",
IF(TODAY()&lt;=J42,"Active",
IF(N42&gt;0,"Grace",
IF(N42&gt;-30,"Inactive","Freeze"))))</f>
        <v>Freeze</v>
      </c>
      <c r="P42" s="10">
        <v>3200</v>
      </c>
      <c r="Q42" s="11">
        <f>COUNTA(T42:CA42)</f>
        <v>7</v>
      </c>
      <c r="R42" s="3">
        <f>K42-Q42</f>
        <v>5</v>
      </c>
      <c r="S42" s="8" t="str">
        <f>IF(Q42&gt;=K42,"Complete","Incomplete")</f>
        <v>Incomplete</v>
      </c>
      <c r="T42" s="14">
        <v>46097</v>
      </c>
      <c r="U42" s="14">
        <v>46099</v>
      </c>
      <c r="V42" s="14">
        <v>46101</v>
      </c>
      <c r="W42" s="14">
        <v>46104</v>
      </c>
      <c r="X42" s="14">
        <v>46108</v>
      </c>
      <c r="Y42" s="14">
        <v>46115</v>
      </c>
      <c r="Z42" s="14">
        <v>46118</v>
      </c>
      <c r="CI42" s="4" t="str">
        <f t="shared" si="0"/>
        <v>1</v>
      </c>
      <c r="CJ42" s="13">
        <f>IF(OR(P42="",CI42=""),"",P42/CI42)</f>
        <v>3200</v>
      </c>
      <c r="CK42" s="5">
        <f t="shared" ca="1" si="1"/>
        <v>46173</v>
      </c>
      <c r="CL42" s="13">
        <f ca="1">IF(OR(I42="",J42="",CJ42="",CK42=""),"",
IF(AND(J42&gt;=EOMONTH(CK42,-1)+1,I42&lt;=EOMONTH(CK42,0)),
CJ42*
(MAX(0,MIN(J42,EOMONTH(CK42,0)) - MAX(I42,EOMONTH(CK42,-1)+1) + 1)
/
DAY(EOMONTH(CK42,0))
),
0))</f>
        <v>0</v>
      </c>
    </row>
    <row r="43" spans="1:90" x14ac:dyDescent="0.2">
      <c r="A43" s="58">
        <v>48</v>
      </c>
      <c r="B43" s="58" t="s">
        <v>169</v>
      </c>
      <c r="C43" s="6">
        <v>42681</v>
      </c>
      <c r="D43" s="3">
        <f ca="1">DATEDIF(C43,TODAY(),"Y") + DATEDIF(C43,TODAY(),"YM")/10</f>
        <v>9.6</v>
      </c>
      <c r="E43" s="58" t="s">
        <v>170</v>
      </c>
      <c r="F43" s="3">
        <v>8806719111</v>
      </c>
      <c r="G43" s="7">
        <v>45988</v>
      </c>
      <c r="H43" s="7" t="str">
        <f ca="1">DATEDIF(G43,TODAY(),"M") &amp; " Months"</f>
        <v>6 Months</v>
      </c>
      <c r="I43" s="4">
        <v>46083</v>
      </c>
      <c r="J43" s="4">
        <f>EDATE(I43,1)</f>
        <v>46114</v>
      </c>
      <c r="K43" s="8">
        <v>20</v>
      </c>
      <c r="L43" s="8">
        <v>38</v>
      </c>
      <c r="M43" s="3">
        <f>I43+L43</f>
        <v>46121</v>
      </c>
      <c r="N43" s="9">
        <f ca="1">L43-(TODAY()-I43)</f>
        <v>-52</v>
      </c>
      <c r="O43" s="8" t="str">
        <f ca="1">IF(J43="","",
IF(TODAY()&lt;=J43,"Active",
IF(N43&gt;0,"Grace",
IF(N43&gt;-30,"Inactive","Freeze"))))</f>
        <v>Freeze</v>
      </c>
      <c r="P43" s="10">
        <v>4400</v>
      </c>
      <c r="Q43" s="11">
        <f>COUNTA(T43:CA43)</f>
        <v>13</v>
      </c>
      <c r="R43" s="3">
        <f>K43-Q43</f>
        <v>7</v>
      </c>
      <c r="S43" s="8" t="str">
        <f>IF(Q43&gt;=K43,"Complete","Incomplete")</f>
        <v>Incomplete</v>
      </c>
      <c r="T43" s="17">
        <v>46086</v>
      </c>
      <c r="U43" s="14">
        <v>46087</v>
      </c>
      <c r="V43" s="14">
        <v>46091</v>
      </c>
      <c r="W43" s="14">
        <v>46097</v>
      </c>
      <c r="X43" s="14">
        <v>46098</v>
      </c>
      <c r="Y43" s="14">
        <v>46099</v>
      </c>
      <c r="Z43" s="14">
        <v>46103</v>
      </c>
      <c r="AA43" s="14">
        <v>46105</v>
      </c>
      <c r="AB43" s="14">
        <v>46106</v>
      </c>
      <c r="AC43" s="14">
        <v>46112</v>
      </c>
      <c r="AD43" s="17">
        <v>46117</v>
      </c>
      <c r="AE43" s="14">
        <v>46118</v>
      </c>
      <c r="AF43" s="14">
        <v>46121</v>
      </c>
      <c r="CI43" s="4" t="str">
        <f t="shared" si="0"/>
        <v>1</v>
      </c>
      <c r="CJ43" s="13">
        <f>IF(OR(P43="",CI43=""),"",P43/CI43)</f>
        <v>4400</v>
      </c>
      <c r="CK43" s="5">
        <f t="shared" ca="1" si="1"/>
        <v>46173</v>
      </c>
      <c r="CL43" s="13">
        <f ca="1">IF(OR(I43="",J43="",CJ43="",CK43=""),"",
IF(AND(J43&gt;=EOMONTH(CK43,-1)+1,I43&lt;=EOMONTH(CK43,0)),
CJ43*
(MAX(0,MIN(J43,EOMONTH(CK43,0)) - MAX(I43,EOMONTH(CK43,-1)+1) + 1)
/
DAY(EOMONTH(CK43,0))
),
0))</f>
        <v>0</v>
      </c>
    </row>
    <row r="44" spans="1:90" x14ac:dyDescent="0.2">
      <c r="A44" s="58">
        <v>49</v>
      </c>
      <c r="B44" s="58" t="s">
        <v>171</v>
      </c>
      <c r="C44" s="6">
        <v>43793</v>
      </c>
      <c r="D44" s="3">
        <f ca="1">DATEDIF(C44,TODAY(),"Y") + DATEDIF(C44,TODAY(),"YM")/10</f>
        <v>6.6</v>
      </c>
      <c r="E44" s="58" t="s">
        <v>172</v>
      </c>
      <c r="F44" s="3">
        <v>9881494797</v>
      </c>
      <c r="G44" s="7">
        <v>45991</v>
      </c>
      <c r="H44" s="7" t="str">
        <f ca="1">DATEDIF(G44,TODAY(),"M") &amp; " Months"</f>
        <v>6 Months</v>
      </c>
      <c r="I44" s="4">
        <v>46027</v>
      </c>
      <c r="J44" s="4">
        <f>EDATE(I44,1)</f>
        <v>46058</v>
      </c>
      <c r="M44" s="3">
        <f>I44+L44</f>
        <v>46027</v>
      </c>
      <c r="N44" s="9">
        <f ca="1">L44-(TODAY()-I44)</f>
        <v>-146</v>
      </c>
      <c r="O44" s="8" t="str">
        <f ca="1">IF(J44="","",
IF(TODAY()&lt;=J44,"Active",
IF(N44&gt;0,"Grace",
IF(N44&gt;-30,"Inactive","Freeze"))))</f>
        <v>Freeze</v>
      </c>
      <c r="P44" s="10"/>
      <c r="Q44" s="11">
        <f>COUNTA(T44:CA44)</f>
        <v>4</v>
      </c>
      <c r="R44" s="3">
        <f>K44-Q44</f>
        <v>-4</v>
      </c>
      <c r="S44" s="8" t="str">
        <f>IF(Q44&gt;=K44,"Complete","Incomplete")</f>
        <v>Complete</v>
      </c>
      <c r="T44" s="14">
        <v>46031</v>
      </c>
      <c r="U44" s="3" t="s">
        <v>98</v>
      </c>
      <c r="V44" s="3" t="s">
        <v>98</v>
      </c>
      <c r="W44" s="3" t="s">
        <v>98</v>
      </c>
      <c r="CI44" s="4" t="str">
        <f t="shared" si="0"/>
        <v>1</v>
      </c>
      <c r="CJ44" s="13" t="str">
        <f>IF(OR(P44="",CI44=""),"",P44/CI44)</f>
        <v/>
      </c>
      <c r="CK44" s="5">
        <f t="shared" ca="1" si="1"/>
        <v>46173</v>
      </c>
      <c r="CL44" s="13" t="str">
        <f ca="1">IF(OR(I44="",J44="",CJ44="",CK44=""),"",
IF(AND(J44&gt;=EOMONTH(CK44,-1)+1,I44&lt;=EOMONTH(CK44,0)),
CJ44*
(MAX(0,MIN(J44,EOMONTH(CK44,0)) - MAX(I44,EOMONTH(CK44,-1)+1) + 1)
/
DAY(EOMONTH(CK44,0))
),
0))</f>
        <v/>
      </c>
    </row>
    <row r="45" spans="1:90" x14ac:dyDescent="0.2">
      <c r="A45" s="58">
        <v>51</v>
      </c>
      <c r="B45" s="58" t="s">
        <v>173</v>
      </c>
      <c r="C45" s="6" t="s">
        <v>174</v>
      </c>
      <c r="D45" s="3">
        <f ca="1">DATEDIF(C45,TODAY(),"Y") + DATEDIF(C45,TODAY(),"YM")/10</f>
        <v>5.8</v>
      </c>
      <c r="E45" s="58" t="s">
        <v>175</v>
      </c>
      <c r="F45" s="3">
        <v>9717279441</v>
      </c>
      <c r="G45" s="7">
        <v>45993</v>
      </c>
      <c r="H45" s="7" t="str">
        <f ca="1">DATEDIF(G45,TODAY(),"M") &amp; " Months"</f>
        <v>5 Months</v>
      </c>
      <c r="I45" s="4">
        <v>46106</v>
      </c>
      <c r="J45" s="4">
        <f>EDATE(I45,1)</f>
        <v>46137</v>
      </c>
      <c r="K45" s="8">
        <v>20</v>
      </c>
      <c r="L45" s="8">
        <v>38</v>
      </c>
      <c r="M45" s="3">
        <f>I45+L45</f>
        <v>46144</v>
      </c>
      <c r="N45" s="9">
        <f ca="1">L45-(TODAY()-I45)</f>
        <v>-29</v>
      </c>
      <c r="O45" s="8" t="str">
        <f ca="1">IF(J45="","",
IF(TODAY()&lt;=J45,"Active",
IF(N45&gt;0,"Grace",
IF(N45&gt;-30,"Inactive","Freeze"))))</f>
        <v>Inactive</v>
      </c>
      <c r="P45" s="10">
        <v>4400</v>
      </c>
      <c r="Q45" s="11">
        <f>COUNTA(T45:CA45)</f>
        <v>20</v>
      </c>
      <c r="R45" s="3">
        <f>K45-Q45</f>
        <v>0</v>
      </c>
      <c r="S45" s="8" t="str">
        <f>IF(Q45&gt;=K45,"Complete","Incomplete")</f>
        <v>Complete</v>
      </c>
      <c r="T45" s="14">
        <v>46107</v>
      </c>
      <c r="U45" s="14">
        <v>46108</v>
      </c>
      <c r="V45" s="14">
        <v>46109</v>
      </c>
      <c r="W45" s="14">
        <v>46111</v>
      </c>
      <c r="X45" s="14">
        <v>46112</v>
      </c>
      <c r="Y45" s="14">
        <v>46113</v>
      </c>
      <c r="Z45" s="14">
        <v>46116</v>
      </c>
      <c r="AA45" s="14">
        <v>46118</v>
      </c>
      <c r="AB45" s="14">
        <v>46119</v>
      </c>
      <c r="AC45" s="14">
        <v>46121</v>
      </c>
      <c r="AD45" s="14">
        <v>46125</v>
      </c>
      <c r="AE45" s="14">
        <v>46127</v>
      </c>
      <c r="AF45" s="14">
        <v>46128</v>
      </c>
      <c r="AG45" s="14">
        <v>46129</v>
      </c>
      <c r="AH45" s="14">
        <v>46132</v>
      </c>
      <c r="AI45" s="14">
        <v>46133</v>
      </c>
      <c r="AJ45" s="14">
        <v>46134</v>
      </c>
      <c r="AK45" s="14">
        <v>46136</v>
      </c>
      <c r="AL45" s="14">
        <v>46140</v>
      </c>
      <c r="AM45" s="14">
        <v>46141</v>
      </c>
      <c r="CI45" s="4" t="str">
        <f t="shared" si="0"/>
        <v>1</v>
      </c>
      <c r="CJ45" s="13">
        <f>IF(OR(P45="",CI45=""),"",P45/CI45)</f>
        <v>4400</v>
      </c>
      <c r="CK45" s="5">
        <f t="shared" ca="1" si="1"/>
        <v>46173</v>
      </c>
      <c r="CL45" s="13">
        <f ca="1">IF(OR(I45="",J45="",CJ45="",CK45=""),"",
IF(AND(J45&gt;=EOMONTH(CK45,-1)+1,I45&lt;=EOMONTH(CK45,0)),
CJ45*
(MAX(0,MIN(J45,EOMONTH(CK45,0)) - MAX(I45,EOMONTH(CK45,-1)+1) + 1)
/
DAY(EOMONTH(CK45,0))
),
0))</f>
        <v>0</v>
      </c>
    </row>
    <row r="46" spans="1:90" x14ac:dyDescent="0.2">
      <c r="A46" s="58">
        <v>52</v>
      </c>
      <c r="B46" s="58" t="s">
        <v>176</v>
      </c>
      <c r="C46" s="6">
        <v>44266</v>
      </c>
      <c r="D46" s="3">
        <f ca="1">DATEDIF(C46,TODAY(),"Y") + DATEDIF(C46,TODAY(),"YM")/10</f>
        <v>5.2</v>
      </c>
      <c r="E46" s="58" t="s">
        <v>177</v>
      </c>
      <c r="F46" s="3">
        <v>7058888134</v>
      </c>
      <c r="G46" s="7">
        <v>45997</v>
      </c>
      <c r="H46" s="7" t="str">
        <f ca="1">DATEDIF(G46,TODAY(),"M") &amp; " Months"</f>
        <v>5 Months</v>
      </c>
      <c r="I46" s="4">
        <v>46143</v>
      </c>
      <c r="J46" s="4">
        <f>EDATE(I46,1)</f>
        <v>46174</v>
      </c>
      <c r="K46" s="8">
        <v>12</v>
      </c>
      <c r="L46" s="8">
        <v>36</v>
      </c>
      <c r="M46" s="3">
        <f>I46+L46</f>
        <v>46179</v>
      </c>
      <c r="N46" s="9">
        <f ca="1">L46-(TODAY()-I46)</f>
        <v>6</v>
      </c>
      <c r="O46" s="8" t="str">
        <f ca="1">IF(J46="","",
IF(TODAY()&lt;=J46,"Active",
IF(N46&gt;0,"Grace",
IF(N46&gt;-30,"Inactive","Freeze"))))</f>
        <v>Active</v>
      </c>
      <c r="P46" s="10">
        <v>3200</v>
      </c>
      <c r="Q46" s="11">
        <f>COUNTA(T46:CA46)</f>
        <v>7</v>
      </c>
      <c r="R46" s="3">
        <f>K46-Q46</f>
        <v>5</v>
      </c>
      <c r="S46" s="8" t="str">
        <f>IF(Q46&gt;=K46,"Complete","Incomplete")</f>
        <v>Incomplete</v>
      </c>
      <c r="T46" s="14">
        <v>46143</v>
      </c>
      <c r="U46" s="14">
        <v>46144</v>
      </c>
      <c r="V46" s="14">
        <v>46146</v>
      </c>
      <c r="W46" s="14">
        <v>46151</v>
      </c>
      <c r="X46" s="14">
        <v>46152</v>
      </c>
      <c r="Y46" s="14">
        <v>46155</v>
      </c>
      <c r="Z46" s="14">
        <v>46157</v>
      </c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CI46" s="4" t="str">
        <f t="shared" si="0"/>
        <v>1</v>
      </c>
      <c r="CJ46" s="13">
        <f>IF(OR(P46="",CI46=""),"",P46/CI46)</f>
        <v>3200</v>
      </c>
      <c r="CK46" s="5">
        <f t="shared" ca="1" si="1"/>
        <v>46173</v>
      </c>
      <c r="CL46" s="13">
        <f ca="1">IF(OR(I46="",J46="",CJ46="",CK46=""),"",
IF(AND(J46&gt;=EOMONTH(CK46,-1)+1,I46&lt;=EOMONTH(CK46,0)),
CJ46*
(MAX(0,MIN(J46,EOMONTH(CK46,0)) - MAX(I46,EOMONTH(CK46,-1)+1) + 1)
/
DAY(EOMONTH(CK46,0))
),
0))</f>
        <v>3200</v>
      </c>
    </row>
    <row r="47" spans="1:90" x14ac:dyDescent="0.2">
      <c r="A47" s="58">
        <v>53</v>
      </c>
      <c r="B47" s="58" t="s">
        <v>178</v>
      </c>
      <c r="C47" s="6">
        <v>45161</v>
      </c>
      <c r="D47" s="3">
        <f ca="1">DATEDIF(C47,TODAY(),"Y") + DATEDIF(C47,TODAY(),"YM")/10</f>
        <v>2.9</v>
      </c>
      <c r="E47" s="58" t="s">
        <v>179</v>
      </c>
      <c r="F47" s="3">
        <v>8149811979</v>
      </c>
      <c r="G47" s="7">
        <v>45998</v>
      </c>
      <c r="H47" s="7" t="str">
        <f ca="1">DATEDIF(G47,TODAY(),"M") &amp; " Months"</f>
        <v>5 Months</v>
      </c>
      <c r="I47" s="4">
        <v>46138</v>
      </c>
      <c r="J47" s="4">
        <f>EDATE(I47,1)</f>
        <v>46168</v>
      </c>
      <c r="K47" s="8">
        <v>12</v>
      </c>
      <c r="L47" s="8">
        <v>36</v>
      </c>
      <c r="M47" s="3">
        <f>I47+L47</f>
        <v>46174</v>
      </c>
      <c r="N47" s="9">
        <f ca="1">L47-(TODAY()-I47)</f>
        <v>1</v>
      </c>
      <c r="O47" s="8" t="str">
        <f ca="1">IF(J47="","",
IF(TODAY()&lt;=J47,"Active",
IF(N47&gt;0,"Grace",
IF(N47&gt;-30,"Inactive","Freeze"))))</f>
        <v>Grace</v>
      </c>
      <c r="P47" s="10">
        <v>3200</v>
      </c>
      <c r="Q47" s="11">
        <f>COUNTA(T47:CA47)</f>
        <v>10</v>
      </c>
      <c r="R47" s="3">
        <f>K47-Q47</f>
        <v>2</v>
      </c>
      <c r="S47" s="8" t="str">
        <f>IF(Q47&gt;=K47,"Complete","Incomplete")</f>
        <v>Incomplete</v>
      </c>
      <c r="T47" s="14">
        <v>46138</v>
      </c>
      <c r="U47" s="14">
        <v>46145</v>
      </c>
      <c r="V47" s="14">
        <v>46149</v>
      </c>
      <c r="W47" s="14">
        <v>46151</v>
      </c>
      <c r="X47" s="14">
        <v>46157</v>
      </c>
      <c r="Y47" s="14">
        <v>46159</v>
      </c>
      <c r="Z47" s="14">
        <v>46163</v>
      </c>
      <c r="AA47" s="14">
        <v>46164</v>
      </c>
      <c r="AB47" s="14">
        <v>46165</v>
      </c>
      <c r="AC47" s="14">
        <v>46171</v>
      </c>
      <c r="AD47" s="14"/>
      <c r="AE47" s="14"/>
      <c r="AF47" s="14"/>
      <c r="AG47" s="14"/>
      <c r="CI47" s="4" t="str">
        <f t="shared" si="0"/>
        <v>1</v>
      </c>
      <c r="CJ47" s="13">
        <f>IF(OR(P47="",CI47=""),"",P47/CI47)</f>
        <v>3200</v>
      </c>
      <c r="CK47" s="5">
        <f t="shared" ca="1" si="1"/>
        <v>46173</v>
      </c>
      <c r="CL47" s="13">
        <f ca="1">IF(OR(I47="",J47="",CJ47="",CK47=""),"",
IF(AND(J47&gt;=EOMONTH(CK47,-1)+1,I47&lt;=EOMONTH(CK47,0)),
CJ47*
(MAX(0,MIN(J47,EOMONTH(CK47,0)) - MAX(I47,EOMONTH(CK47,-1)+1) + 1)
/
DAY(EOMONTH(CK47,0))
),
0))</f>
        <v>2683.8709677419356</v>
      </c>
    </row>
    <row r="48" spans="1:90" x14ac:dyDescent="0.2">
      <c r="A48" s="58">
        <v>54</v>
      </c>
      <c r="B48" s="58" t="s">
        <v>180</v>
      </c>
      <c r="C48" s="6">
        <v>44350</v>
      </c>
      <c r="D48" s="3">
        <f ca="1">DATEDIF(C48,TODAY(),"Y") + DATEDIF(C48,TODAY(),"YM")/10</f>
        <v>5.0999999999999996</v>
      </c>
      <c r="E48" s="58" t="s">
        <v>181</v>
      </c>
      <c r="F48" s="3">
        <v>7499557906</v>
      </c>
      <c r="G48" s="7">
        <v>46000</v>
      </c>
      <c r="H48" s="7" t="str">
        <f ca="1">DATEDIF(G48,TODAY(),"M") &amp; " Months"</f>
        <v>5 Months</v>
      </c>
      <c r="I48" s="4">
        <v>46127</v>
      </c>
      <c r="J48" s="4">
        <f>EDATE(I48,3)</f>
        <v>46218</v>
      </c>
      <c r="K48" s="8">
        <v>60</v>
      </c>
      <c r="L48" s="8">
        <v>114</v>
      </c>
      <c r="M48" s="3">
        <f>I48+L48</f>
        <v>46241</v>
      </c>
      <c r="N48" s="9">
        <f ca="1">L48-(TODAY()-I48)</f>
        <v>68</v>
      </c>
      <c r="O48" s="8" t="str">
        <f ca="1">IF(J48="","",
IF(TODAY()&lt;=J48,"Active",
IF(N48&gt;0,"Grace",
IF(N48&gt;-30,"Inactive","Freeze"))))</f>
        <v>Active</v>
      </c>
      <c r="P48" s="10">
        <v>11220</v>
      </c>
      <c r="Q48" s="11">
        <f>COUNTA(T48:CA48)</f>
        <v>18</v>
      </c>
      <c r="R48" s="3">
        <f>K48-Q48</f>
        <v>42</v>
      </c>
      <c r="S48" s="8" t="str">
        <f>IF(Q48&gt;=K48,"Complete","Incomplete")</f>
        <v>Incomplete</v>
      </c>
      <c r="T48" s="14">
        <v>46128</v>
      </c>
      <c r="U48" s="14">
        <v>46129</v>
      </c>
      <c r="V48" s="14">
        <v>46133</v>
      </c>
      <c r="W48" s="14">
        <v>46134</v>
      </c>
      <c r="X48" s="14">
        <v>46139</v>
      </c>
      <c r="Y48" s="14">
        <v>46140</v>
      </c>
      <c r="Z48" s="14">
        <v>46141</v>
      </c>
      <c r="AA48" s="14">
        <v>46143</v>
      </c>
      <c r="AB48" s="14">
        <v>46146</v>
      </c>
      <c r="AC48" s="14">
        <v>46150</v>
      </c>
      <c r="AD48" s="14">
        <v>46154</v>
      </c>
      <c r="AE48" s="14">
        <v>46155</v>
      </c>
      <c r="AF48" s="14">
        <v>46157</v>
      </c>
      <c r="AG48" s="14">
        <v>46160</v>
      </c>
      <c r="AH48" s="14">
        <v>46161</v>
      </c>
      <c r="AI48" s="14">
        <v>46163</v>
      </c>
      <c r="AJ48" s="14">
        <v>46164</v>
      </c>
      <c r="AK48" s="14">
        <v>46167</v>
      </c>
      <c r="AO48" s="14"/>
      <c r="CI48" s="4" t="str">
        <f t="shared" si="0"/>
        <v>3</v>
      </c>
      <c r="CJ48" s="13">
        <f>IF(OR(P48="",CI48=""),"",P48/CI48)</f>
        <v>3740</v>
      </c>
      <c r="CK48" s="5">
        <f t="shared" ca="1" si="1"/>
        <v>46173</v>
      </c>
      <c r="CL48" s="13">
        <f ca="1">IF(OR(I48="",J48="",CJ48="",CK48=""),"",
IF(AND(J48&gt;=EOMONTH(CK48,-1)+1,I48&lt;=EOMONTH(CK48,0)),
CJ48*
(MAX(0,MIN(J48,EOMONTH(CK48,0)) - MAX(I48,EOMONTH(CK48,-1)+1) + 1)
/
DAY(EOMONTH(CK48,0))
),
0))</f>
        <v>3740</v>
      </c>
    </row>
    <row r="49" spans="1:90" x14ac:dyDescent="0.2">
      <c r="A49" s="58">
        <v>58</v>
      </c>
      <c r="B49" s="58" t="s">
        <v>182</v>
      </c>
      <c r="C49" s="6">
        <v>43784</v>
      </c>
      <c r="D49" s="3">
        <f ca="1">DATEDIF(C49,TODAY(),"Y") + DATEDIF(C49,TODAY(),"YM")/10</f>
        <v>6.6</v>
      </c>
      <c r="E49" s="58" t="s">
        <v>183</v>
      </c>
      <c r="F49" s="3">
        <v>9764047864</v>
      </c>
      <c r="G49" s="7">
        <v>46007</v>
      </c>
      <c r="H49" s="7" t="str">
        <f ca="1">DATEDIF(G49,TODAY(),"M") &amp; " Months"</f>
        <v>5 Months</v>
      </c>
      <c r="I49" s="4">
        <v>46007</v>
      </c>
      <c r="J49" s="4">
        <f>EDATE(I49,3)</f>
        <v>46097</v>
      </c>
      <c r="K49" s="8">
        <v>36</v>
      </c>
      <c r="L49" s="8">
        <v>108</v>
      </c>
      <c r="M49" s="3">
        <f>I49+L49</f>
        <v>46115</v>
      </c>
      <c r="N49" s="9">
        <f ca="1">L49-(TODAY()-I49)</f>
        <v>-58</v>
      </c>
      <c r="O49" s="8" t="str">
        <f ca="1">IF(J49="","",
IF(TODAY()&lt;=J49,"Active",
IF(N49&gt;0,"Grace",
IF(N49&gt;-30,"Inactive","Freeze"))))</f>
        <v>Freeze</v>
      </c>
      <c r="P49" s="10"/>
      <c r="Q49" s="11">
        <f>COUNTA(T49:CA49)</f>
        <v>38</v>
      </c>
      <c r="R49" s="3">
        <f>K49-Q49</f>
        <v>-2</v>
      </c>
      <c r="S49" s="8" t="str">
        <f>IF(Q49&gt;=K49,"Complete","Incomplete")</f>
        <v>Complete</v>
      </c>
      <c r="T49" s="14">
        <v>46372</v>
      </c>
      <c r="U49" s="3" t="s">
        <v>98</v>
      </c>
      <c r="V49" s="3" t="s">
        <v>98</v>
      </c>
      <c r="W49" s="3" t="s">
        <v>98</v>
      </c>
      <c r="X49" s="3" t="s">
        <v>98</v>
      </c>
      <c r="Y49" s="3" t="s">
        <v>98</v>
      </c>
      <c r="Z49" s="3" t="s">
        <v>98</v>
      </c>
      <c r="AA49" s="3" t="s">
        <v>98</v>
      </c>
      <c r="AB49" s="3" t="s">
        <v>98</v>
      </c>
      <c r="AC49" s="3" t="s">
        <v>98</v>
      </c>
      <c r="AD49" s="3" t="s">
        <v>98</v>
      </c>
      <c r="AE49" s="3" t="s">
        <v>98</v>
      </c>
      <c r="AF49" s="3" t="s">
        <v>98</v>
      </c>
      <c r="AG49" s="3" t="s">
        <v>98</v>
      </c>
      <c r="AH49" s="3" t="s">
        <v>98</v>
      </c>
      <c r="AI49" s="3" t="s">
        <v>98</v>
      </c>
      <c r="AJ49" s="3" t="s">
        <v>98</v>
      </c>
      <c r="AK49" s="3" t="s">
        <v>98</v>
      </c>
      <c r="AL49" s="3" t="s">
        <v>98</v>
      </c>
      <c r="AM49" s="3" t="s">
        <v>98</v>
      </c>
      <c r="AN49" s="3" t="s">
        <v>98</v>
      </c>
      <c r="AO49" s="3" t="s">
        <v>98</v>
      </c>
      <c r="AP49" s="3" t="s">
        <v>98</v>
      </c>
      <c r="AQ49" s="3" t="s">
        <v>98</v>
      </c>
      <c r="AR49" s="3" t="s">
        <v>98</v>
      </c>
      <c r="AS49" s="3" t="s">
        <v>98</v>
      </c>
      <c r="AT49" s="3" t="s">
        <v>98</v>
      </c>
      <c r="AU49" s="3" t="s">
        <v>98</v>
      </c>
      <c r="AV49" s="14">
        <v>46079</v>
      </c>
      <c r="AW49" s="3" t="s">
        <v>98</v>
      </c>
      <c r="AX49" s="3" t="s">
        <v>98</v>
      </c>
      <c r="AY49" s="3" t="s">
        <v>98</v>
      </c>
      <c r="AZ49" s="3" t="s">
        <v>98</v>
      </c>
      <c r="BA49" s="3" t="s">
        <v>98</v>
      </c>
      <c r="BB49" s="3" t="s">
        <v>98</v>
      </c>
      <c r="BC49" s="3" t="s">
        <v>98</v>
      </c>
      <c r="BD49" s="3" t="s">
        <v>98</v>
      </c>
      <c r="BE49" s="14">
        <v>46112</v>
      </c>
      <c r="CI49" s="4" t="str">
        <f t="shared" si="0"/>
        <v>3</v>
      </c>
      <c r="CJ49" s="13" t="str">
        <f>IF(OR(P49="",CI49=""),"",P49/CI49)</f>
        <v/>
      </c>
      <c r="CK49" s="5">
        <f t="shared" ca="1" si="1"/>
        <v>46173</v>
      </c>
      <c r="CL49" s="13" t="str">
        <f ca="1">IF(OR(I49="",J49="",CJ49="",CK49=""),"",
IF(AND(J49&gt;=EOMONTH(CK49,-1)+1,I49&lt;=EOMONTH(CK49,0)),
CJ49*
(MAX(0,MIN(J49,EOMONTH(CK49,0)) - MAX(I49,EOMONTH(CK49,-1)+1) + 1)
/
DAY(EOMONTH(CK49,0))
),
0))</f>
        <v/>
      </c>
    </row>
    <row r="50" spans="1:90" x14ac:dyDescent="0.2">
      <c r="A50" s="58">
        <v>61</v>
      </c>
      <c r="B50" s="58" t="s">
        <v>184</v>
      </c>
      <c r="C50" s="6">
        <v>43036</v>
      </c>
      <c r="D50" s="3">
        <f ca="1">DATEDIF(C50,TODAY(),"Y") + DATEDIF(C50,TODAY(),"YM")/10</f>
        <v>8.6999999999999993</v>
      </c>
      <c r="E50" s="58" t="s">
        <v>185</v>
      </c>
      <c r="F50" s="3">
        <v>9096311110</v>
      </c>
      <c r="G50" s="7">
        <v>46001</v>
      </c>
      <c r="H50" s="7" t="str">
        <f ca="1">DATEDIF(G50,TODAY(),"M") &amp; " Months"</f>
        <v>5 Months</v>
      </c>
      <c r="I50" s="4">
        <v>46042</v>
      </c>
      <c r="J50" s="4">
        <f>EDATE(I50,1)</f>
        <v>46073</v>
      </c>
      <c r="M50" s="3">
        <f>I50+L50</f>
        <v>46042</v>
      </c>
      <c r="N50" s="9">
        <f ca="1">L50-(TODAY()-I50)</f>
        <v>-131</v>
      </c>
      <c r="O50" s="8" t="str">
        <f ca="1">IF(J50="","",
IF(TODAY()&lt;=J50,"Active",
IF(N50&gt;0,"Grace",
IF(N50&gt;-30,"Inactive","Freeze"))))</f>
        <v>Freeze</v>
      </c>
      <c r="P50" s="10"/>
      <c r="Q50" s="11">
        <f>COUNTA(T50:CA50)</f>
        <v>6</v>
      </c>
      <c r="R50" s="3">
        <f>K50-Q50</f>
        <v>-6</v>
      </c>
      <c r="S50" s="8" t="str">
        <f>IF(Q50&gt;=K50,"Complete","Incomplete")</f>
        <v>Complete</v>
      </c>
      <c r="T50" s="14">
        <v>46072</v>
      </c>
      <c r="U50" s="3" t="s">
        <v>98</v>
      </c>
      <c r="V50" s="3" t="s">
        <v>98</v>
      </c>
      <c r="W50" s="3" t="s">
        <v>98</v>
      </c>
      <c r="X50" s="3" t="s">
        <v>98</v>
      </c>
      <c r="Y50" s="3" t="s">
        <v>98</v>
      </c>
      <c r="CI50" s="4" t="str">
        <f t="shared" si="0"/>
        <v>1</v>
      </c>
      <c r="CJ50" s="13" t="str">
        <f>IF(OR(P50="",CI50=""),"",P50/CI50)</f>
        <v/>
      </c>
      <c r="CK50" s="5">
        <f t="shared" ca="1" si="1"/>
        <v>46173</v>
      </c>
      <c r="CL50" s="13" t="str">
        <f ca="1">IF(OR(I50="",J50="",CJ50="",CK50=""),"",
IF(AND(J50&gt;=EOMONTH(CK50,-1)+1,I50&lt;=EOMONTH(CK50,0)),
CJ50*
(MAX(0,MIN(J50,EOMONTH(CK50,0)) - MAX(I50,EOMONTH(CK50,-1)+1) + 1)
/
DAY(EOMONTH(CK50,0))
),
0))</f>
        <v/>
      </c>
    </row>
    <row r="51" spans="1:90" x14ac:dyDescent="0.2">
      <c r="A51" s="58">
        <v>64</v>
      </c>
      <c r="B51" s="58" t="s">
        <v>186</v>
      </c>
      <c r="C51" s="6">
        <v>43472</v>
      </c>
      <c r="D51" s="3">
        <f ca="1">DATEDIF(C51,TODAY(),"Y") + DATEDIF(C51,TODAY(),"YM")/10</f>
        <v>7.4</v>
      </c>
      <c r="E51" s="58" t="s">
        <v>187</v>
      </c>
      <c r="F51" s="3">
        <v>9420703134</v>
      </c>
      <c r="G51" s="7">
        <v>46027</v>
      </c>
      <c r="H51" s="7" t="str">
        <f ca="1">DATEDIF(G51,TODAY(),"M") &amp; " Months"</f>
        <v>4 Months</v>
      </c>
      <c r="I51" s="4">
        <v>46027</v>
      </c>
      <c r="J51" s="4">
        <f>EDATE(I51,3)</f>
        <v>46117</v>
      </c>
      <c r="K51" s="8">
        <v>36</v>
      </c>
      <c r="L51" s="8">
        <v>108</v>
      </c>
      <c r="M51" s="3">
        <f>I51+L51</f>
        <v>46135</v>
      </c>
      <c r="N51" s="9">
        <f ca="1">L51-(TODAY()-I51)</f>
        <v>-38</v>
      </c>
      <c r="O51" s="8" t="str">
        <f ca="1">IF(J51="","",
IF(TODAY()&lt;=J51,"Active",
IF(N51&gt;0,"Grace",
IF(N51&gt;-30,"Inactive","Freeze"))))</f>
        <v>Freeze</v>
      </c>
      <c r="P51" s="10">
        <v>8640</v>
      </c>
      <c r="Q51" s="11">
        <f>COUNTA(T51:CA51)</f>
        <v>24</v>
      </c>
      <c r="R51" s="3">
        <f>K51-Q51</f>
        <v>12</v>
      </c>
      <c r="S51" s="8" t="str">
        <f>IF(Q51&gt;=K51,"Complete","Incomplete")</f>
        <v>Incomplete</v>
      </c>
      <c r="T51" s="14">
        <v>46029</v>
      </c>
      <c r="U51" s="14">
        <v>46031</v>
      </c>
      <c r="V51" s="14">
        <v>46034</v>
      </c>
      <c r="W51" s="14">
        <v>46036</v>
      </c>
      <c r="X51" s="14">
        <v>46038</v>
      </c>
      <c r="Y51" s="14">
        <v>46043</v>
      </c>
      <c r="Z51" s="14">
        <v>46045</v>
      </c>
      <c r="AA51" s="14">
        <v>46050</v>
      </c>
      <c r="AB51" s="14">
        <v>46052</v>
      </c>
      <c r="AC51" s="14">
        <v>46083</v>
      </c>
      <c r="AD51" s="14">
        <v>46085</v>
      </c>
      <c r="AE51" s="14">
        <v>46087</v>
      </c>
      <c r="AF51" s="14">
        <v>46090</v>
      </c>
      <c r="AG51" s="14">
        <v>46092</v>
      </c>
      <c r="AH51" s="14">
        <v>46094</v>
      </c>
      <c r="AI51" s="14">
        <v>46118</v>
      </c>
      <c r="AJ51" s="14">
        <v>46122</v>
      </c>
      <c r="AK51" s="14">
        <v>46124</v>
      </c>
      <c r="AL51" s="14">
        <v>46127</v>
      </c>
      <c r="AM51" s="14">
        <v>46129</v>
      </c>
      <c r="AN51" s="14">
        <v>46132</v>
      </c>
      <c r="AO51" s="14">
        <v>46134</v>
      </c>
      <c r="AP51" s="14">
        <v>46136</v>
      </c>
      <c r="AQ51" s="14">
        <v>46139</v>
      </c>
      <c r="CI51" s="4" t="str">
        <f t="shared" si="0"/>
        <v>3</v>
      </c>
      <c r="CJ51" s="13">
        <f>IF(OR(P51="",CI51=""),"",P51/CI51)</f>
        <v>2880</v>
      </c>
      <c r="CK51" s="5">
        <f t="shared" ca="1" si="1"/>
        <v>46173</v>
      </c>
      <c r="CL51" s="13">
        <f ca="1">IF(OR(I51="",J51="",CJ51="",CK51=""),"",
IF(AND(J51&gt;=EOMONTH(CK51,-1)+1,I51&lt;=EOMONTH(CK51,0)),
CJ51*
(MAX(0,MIN(J51,EOMONTH(CK51,0)) - MAX(I51,EOMONTH(CK51,-1)+1) + 1)
/
DAY(EOMONTH(CK51,0))
),
0))</f>
        <v>0</v>
      </c>
    </row>
    <row r="52" spans="1:90" x14ac:dyDescent="0.2">
      <c r="A52" s="58">
        <v>67</v>
      </c>
      <c r="B52" s="58" t="s">
        <v>188</v>
      </c>
      <c r="C52" s="6">
        <v>44044</v>
      </c>
      <c r="D52" s="3">
        <f ca="1">DATEDIF(C52,TODAY(),"Y") + DATEDIF(C52,TODAY(),"YM")/10</f>
        <v>5.9</v>
      </c>
      <c r="E52" s="58" t="s">
        <v>189</v>
      </c>
      <c r="F52" s="3">
        <v>7350000676</v>
      </c>
      <c r="G52" s="7">
        <v>46029</v>
      </c>
      <c r="H52" s="7" t="str">
        <f ca="1">DATEDIF(G52,TODAY(),"M") &amp; " Months"</f>
        <v>4 Months</v>
      </c>
      <c r="I52" s="4">
        <v>46059</v>
      </c>
      <c r="J52" s="4">
        <f>EDATE(I52,1)</f>
        <v>46087</v>
      </c>
      <c r="M52" s="3">
        <f>I52+L52</f>
        <v>46059</v>
      </c>
      <c r="N52" s="9">
        <f ca="1">L52-(TODAY()-I52)</f>
        <v>-114</v>
      </c>
      <c r="O52" s="8" t="str">
        <f ca="1">IF(J52="","",
IF(TODAY()&lt;=J52,"Active",
IF(N52&gt;0,"Grace",
IF(N52&gt;-30,"Inactive","Freeze"))))</f>
        <v>Freeze</v>
      </c>
      <c r="P52" s="10"/>
      <c r="Q52" s="11">
        <f>COUNTA(T52:CA52)</f>
        <v>2</v>
      </c>
      <c r="R52" s="3">
        <f>K52-Q52</f>
        <v>-2</v>
      </c>
      <c r="S52" s="8" t="str">
        <f>IF(Q52&gt;=K52,"Complete","Incomplete")</f>
        <v>Complete</v>
      </c>
      <c r="T52" s="14">
        <v>46059</v>
      </c>
      <c r="U52" s="3" t="s">
        <v>98</v>
      </c>
      <c r="CI52" s="4" t="str">
        <f t="shared" si="0"/>
        <v>1</v>
      </c>
      <c r="CJ52" s="13" t="str">
        <f>IF(OR(P52="",CI52=""),"",P52/CI52)</f>
        <v/>
      </c>
      <c r="CK52" s="5">
        <f t="shared" ca="1" si="1"/>
        <v>46173</v>
      </c>
      <c r="CL52" s="13" t="str">
        <f ca="1">IF(OR(I52="",J52="",CJ52="",CK52=""),"",
IF(AND(J52&gt;=EOMONTH(CK52,-1)+1,I52&lt;=EOMONTH(CK52,0)),
CJ52*
(MAX(0,MIN(J52,EOMONTH(CK52,0)) - MAX(I52,EOMONTH(CK52,-1)+1) + 1)
/
DAY(EOMONTH(CK52,0))
),
0))</f>
        <v/>
      </c>
    </row>
    <row r="53" spans="1:90" x14ac:dyDescent="0.2">
      <c r="A53" s="58">
        <v>68</v>
      </c>
      <c r="B53" s="58" t="s">
        <v>547</v>
      </c>
      <c r="C53" s="6">
        <v>44860</v>
      </c>
      <c r="D53" s="3">
        <f ca="1">DATEDIF(C53,TODAY(),"Y") + DATEDIF(C53,TODAY(),"YM")/10</f>
        <v>3.7</v>
      </c>
      <c r="E53" s="58" t="s">
        <v>190</v>
      </c>
      <c r="F53" s="3">
        <v>7276424906</v>
      </c>
      <c r="G53" s="7">
        <v>46029</v>
      </c>
      <c r="H53" s="7" t="str">
        <f ca="1">DATEDIF(G53,TODAY(),"M") &amp; " Months"</f>
        <v>4 Months</v>
      </c>
      <c r="I53" s="4">
        <v>46087</v>
      </c>
      <c r="J53" s="4">
        <f>EDATE(I53,3)</f>
        <v>46179</v>
      </c>
      <c r="K53" s="8">
        <v>48</v>
      </c>
      <c r="L53" s="8">
        <v>110</v>
      </c>
      <c r="M53" s="3">
        <f>I53+L53</f>
        <v>46197</v>
      </c>
      <c r="N53" s="9">
        <f ca="1">L53-(TODAY()-I53)</f>
        <v>24</v>
      </c>
      <c r="O53" s="8" t="str">
        <f ca="1">IF(J53="","",
IF(TODAY()&lt;=J53,"Active",
IF(N53&gt;0,"Grace",
IF(N53&gt;-30,"Inactive","Freeze"))))</f>
        <v>Active</v>
      </c>
      <c r="P53" s="10">
        <v>9000</v>
      </c>
      <c r="Q53" s="11">
        <f>COUNTA(T53:CA53)</f>
        <v>17</v>
      </c>
      <c r="R53" s="3">
        <f>K53-Q53</f>
        <v>31</v>
      </c>
      <c r="S53" s="8" t="str">
        <f>IF(Q53&gt;=K53,"Complete","Incomplete")</f>
        <v>Incomplete</v>
      </c>
      <c r="T53" s="14">
        <v>46087</v>
      </c>
      <c r="U53" s="14">
        <v>46090</v>
      </c>
      <c r="V53" s="14">
        <v>46091</v>
      </c>
      <c r="W53" s="14">
        <v>46092</v>
      </c>
      <c r="X53" s="14">
        <v>46093</v>
      </c>
      <c r="Y53" s="14">
        <v>46104</v>
      </c>
      <c r="Z53" s="14">
        <v>46105</v>
      </c>
      <c r="AA53" s="14">
        <v>46106</v>
      </c>
      <c r="AB53" s="14">
        <v>46107</v>
      </c>
      <c r="AC53" s="14">
        <v>46111</v>
      </c>
      <c r="AD53" s="14">
        <v>46113</v>
      </c>
      <c r="AE53" s="14">
        <v>46118</v>
      </c>
      <c r="AF53" s="14">
        <v>46119</v>
      </c>
      <c r="AG53" s="14">
        <v>46121</v>
      </c>
      <c r="AH53" s="14">
        <v>46125</v>
      </c>
      <c r="AI53" s="14">
        <v>46127</v>
      </c>
      <c r="AJ53" s="14">
        <v>46128</v>
      </c>
      <c r="CI53" s="4" t="str">
        <f t="shared" si="0"/>
        <v>3</v>
      </c>
      <c r="CJ53" s="13">
        <f>IF(OR(P53="",CI53=""),"",P53/CI53)</f>
        <v>3000</v>
      </c>
      <c r="CK53" s="5">
        <f t="shared" ca="1" si="1"/>
        <v>46173</v>
      </c>
      <c r="CL53" s="13">
        <f ca="1">IF(OR(I53="",J53="",CJ53="",CK53=""),"",
IF(AND(J53&gt;=EOMONTH(CK53,-1)+1,I53&lt;=EOMONTH(CK53,0)),
CJ53*
(MAX(0,MIN(J53,EOMONTH(CK53,0)) - MAX(I53,EOMONTH(CK53,-1)+1) + 1)
/
DAY(EOMONTH(CK53,0))
),
0))</f>
        <v>3000</v>
      </c>
    </row>
    <row r="54" spans="1:90" x14ac:dyDescent="0.2">
      <c r="A54" s="58">
        <v>69</v>
      </c>
      <c r="B54" s="58" t="s">
        <v>191</v>
      </c>
      <c r="C54" s="6">
        <v>43961</v>
      </c>
      <c r="D54" s="3">
        <f ca="1">DATEDIF(C54,TODAY(),"Y") + DATEDIF(C54,TODAY(),"YM")/10</f>
        <v>6</v>
      </c>
      <c r="E54" s="58" t="s">
        <v>192</v>
      </c>
      <c r="F54" s="3">
        <v>9999792961</v>
      </c>
      <c r="G54" s="7">
        <v>46031</v>
      </c>
      <c r="H54" s="7" t="str">
        <f ca="1">DATEDIF(G54,TODAY(),"M") &amp; " Months"</f>
        <v>4 Months</v>
      </c>
      <c r="I54" s="4">
        <v>46128</v>
      </c>
      <c r="J54" s="4">
        <f>EDATE(I54,1)</f>
        <v>46158</v>
      </c>
      <c r="K54" s="8">
        <v>6</v>
      </c>
      <c r="L54" s="8">
        <v>35</v>
      </c>
      <c r="M54" s="3">
        <f>I54+L54</f>
        <v>46163</v>
      </c>
      <c r="N54" s="9">
        <f ca="1">L54-(TODAY()-I54)</f>
        <v>-10</v>
      </c>
      <c r="O54" s="8" t="str">
        <f ca="1">IF(J54="","",
IF(TODAY()&lt;=J54,"Active",
IF(N54&gt;0,"Grace",
IF(N54&gt;-30,"Inactive","Freeze"))))</f>
        <v>Inactive</v>
      </c>
      <c r="P54" s="10">
        <v>3200</v>
      </c>
      <c r="Q54" s="11">
        <f>COUNTA(T54:CA54)</f>
        <v>6</v>
      </c>
      <c r="R54" s="3">
        <f>K54-Q54</f>
        <v>0</v>
      </c>
      <c r="S54" s="8" t="str">
        <f>IF(Q54&gt;=K54,"Complete","Incomplete")</f>
        <v>Complete</v>
      </c>
      <c r="T54" s="14">
        <v>46147</v>
      </c>
      <c r="U54" s="14">
        <v>46149</v>
      </c>
      <c r="V54" s="14">
        <v>46150</v>
      </c>
      <c r="W54" s="14">
        <v>46154</v>
      </c>
      <c r="X54" s="14">
        <v>46155</v>
      </c>
      <c r="Y54" s="14">
        <v>46156</v>
      </c>
      <c r="Z54" s="14"/>
      <c r="AA54" s="14"/>
      <c r="AB54" s="14"/>
      <c r="AC54" s="14"/>
      <c r="CI54" s="4" t="str">
        <f t="shared" si="0"/>
        <v>1</v>
      </c>
      <c r="CJ54" s="13">
        <f>IF(OR(P54="",CI54=""),"",P54/CI54)</f>
        <v>3200</v>
      </c>
      <c r="CK54" s="5">
        <f t="shared" ca="1" si="1"/>
        <v>46173</v>
      </c>
      <c r="CL54" s="13">
        <f ca="1">IF(OR(I54="",J54="",CJ54="",CK54=""),"",
IF(AND(J54&gt;=EOMONTH(CK54,-1)+1,I54&lt;=EOMONTH(CK54,0)),
CJ54*
(MAX(0,MIN(J54,EOMONTH(CK54,0)) - MAX(I54,EOMONTH(CK54,-1)+1) + 1)
/
DAY(EOMONTH(CK54,0))
),
0))</f>
        <v>1651.6129032258063</v>
      </c>
    </row>
    <row r="55" spans="1:90" x14ac:dyDescent="0.2">
      <c r="A55" s="58">
        <v>70</v>
      </c>
      <c r="B55" s="58" t="s">
        <v>548</v>
      </c>
      <c r="C55" s="6">
        <v>44268</v>
      </c>
      <c r="D55" s="3">
        <f ca="1">DATEDIF(C55,TODAY(),"Y") + DATEDIF(C55,TODAY(),"YM")/10</f>
        <v>5.2</v>
      </c>
      <c r="E55" s="58" t="s">
        <v>193</v>
      </c>
      <c r="F55" s="3">
        <v>9975499938</v>
      </c>
      <c r="G55" s="7">
        <v>46031</v>
      </c>
      <c r="H55" s="7" t="str">
        <f ca="1">DATEDIF(G55,TODAY(),"M") &amp; " Months"</f>
        <v>4 Months</v>
      </c>
      <c r="I55" s="4">
        <v>46168</v>
      </c>
      <c r="J55" s="4">
        <f>EDATE(I55,1)</f>
        <v>46199</v>
      </c>
      <c r="K55" s="8">
        <v>12</v>
      </c>
      <c r="L55" s="8">
        <v>36</v>
      </c>
      <c r="M55" s="3">
        <f>I55+L55</f>
        <v>46204</v>
      </c>
      <c r="N55" s="9">
        <f ca="1">L55-(TODAY()-I55)</f>
        <v>31</v>
      </c>
      <c r="O55" s="8" t="str">
        <f ca="1">IF(J55="","",
IF(TODAY()&lt;=J55,"Active",
IF(N55&gt;0,"Grace",
IF(N55&gt;-30,"Inactive","Freeze"))))</f>
        <v>Active</v>
      </c>
      <c r="P55" s="10">
        <v>3200</v>
      </c>
      <c r="Q55" s="11">
        <f>COUNTA(T55:CA55)</f>
        <v>2</v>
      </c>
      <c r="R55" s="3">
        <f>K55-Q55</f>
        <v>10</v>
      </c>
      <c r="S55" s="8" t="str">
        <f>IF(Q55&gt;=K55,"Complete","Incomplete")</f>
        <v>Incomplete</v>
      </c>
      <c r="T55" s="14">
        <v>46168</v>
      </c>
      <c r="U55" s="14">
        <v>46169</v>
      </c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G55" s="14"/>
      <c r="CI55" s="4" t="str">
        <f t="shared" si="0"/>
        <v>1</v>
      </c>
      <c r="CJ55" s="13">
        <f>IF(OR(P55="",CI55=""),"",P55/CI55)</f>
        <v>3200</v>
      </c>
      <c r="CK55" s="5">
        <f t="shared" ca="1" si="1"/>
        <v>46173</v>
      </c>
      <c r="CL55" s="13">
        <f ca="1">IF(OR(I55="",J55="",CJ55="",CK55=""),"",
IF(AND(J55&gt;=EOMONTH(CK55,-1)+1,I55&lt;=EOMONTH(CK55,0)),
CJ55*
(MAX(0,MIN(J55,EOMONTH(CK55,0)) - MAX(I55,EOMONTH(CK55,-1)+1) + 1)
/
DAY(EOMONTH(CK55,0))
),
0))</f>
        <v>619.35483870967744</v>
      </c>
    </row>
    <row r="56" spans="1:90" x14ac:dyDescent="0.2">
      <c r="A56" s="58">
        <v>71</v>
      </c>
      <c r="B56" s="58" t="s">
        <v>194</v>
      </c>
      <c r="C56" s="6">
        <v>43862</v>
      </c>
      <c r="D56" s="3">
        <f ca="1">DATEDIF(C56,TODAY(),"Y") + DATEDIF(C56,TODAY(),"YM")/10</f>
        <v>6.3</v>
      </c>
      <c r="E56" s="58" t="s">
        <v>195</v>
      </c>
      <c r="F56" s="3">
        <v>9822385863</v>
      </c>
      <c r="G56" s="7">
        <v>46029</v>
      </c>
      <c r="H56" s="7" t="str">
        <f ca="1">DATEDIF(G56,TODAY(),"M") &amp; " Months"</f>
        <v>4 Months</v>
      </c>
      <c r="I56" s="4">
        <v>46121</v>
      </c>
      <c r="J56" s="4">
        <f>EDATE(I56,1)</f>
        <v>46151</v>
      </c>
      <c r="K56" s="8">
        <v>12</v>
      </c>
      <c r="L56" s="8">
        <v>36</v>
      </c>
      <c r="M56" s="3">
        <f>I56+L56</f>
        <v>46157</v>
      </c>
      <c r="N56" s="9">
        <f ca="1">L56-(TODAY()-I56)</f>
        <v>-16</v>
      </c>
      <c r="O56" s="8" t="str">
        <f ca="1">IF(J56="","",
IF(TODAY()&lt;=J56,"Active",
IF(N56&gt;0,"Grace",
IF(N56&gt;-30,"Inactive","Freeze"))))</f>
        <v>Inactive</v>
      </c>
      <c r="P56" s="10">
        <v>3200</v>
      </c>
      <c r="Q56" s="11">
        <f>COUNTA(T56:CA56)</f>
        <v>13</v>
      </c>
      <c r="R56" s="3">
        <f>K56-Q56</f>
        <v>-1</v>
      </c>
      <c r="S56" s="8" t="str">
        <f>IF(Q56&gt;=K56,"Complete","Incomplete")</f>
        <v>Complete</v>
      </c>
      <c r="T56" s="14">
        <v>46121</v>
      </c>
      <c r="U56" s="14">
        <v>46126</v>
      </c>
      <c r="V56" s="14">
        <v>46127</v>
      </c>
      <c r="W56" s="14">
        <v>46128</v>
      </c>
      <c r="X56" s="14">
        <v>46133</v>
      </c>
      <c r="Y56" s="14">
        <v>46134</v>
      </c>
      <c r="Z56" s="14">
        <v>46135</v>
      </c>
      <c r="AA56" s="14">
        <v>46141</v>
      </c>
      <c r="AB56" s="14">
        <v>46143</v>
      </c>
      <c r="AC56" s="14">
        <v>46145</v>
      </c>
      <c r="AD56" s="14">
        <v>46146</v>
      </c>
      <c r="AE56" s="14">
        <v>46147</v>
      </c>
      <c r="AF56" s="14">
        <v>46148</v>
      </c>
      <c r="CI56" s="4" t="str">
        <f t="shared" si="0"/>
        <v>1</v>
      </c>
      <c r="CJ56" s="13">
        <f>IF(OR(P56="",CI56=""),"",P56/CI56)</f>
        <v>3200</v>
      </c>
      <c r="CK56" s="5">
        <f t="shared" ca="1" si="1"/>
        <v>46173</v>
      </c>
      <c r="CL56" s="13">
        <f ca="1">IF(OR(I56="",J56="",CJ56="",CK56=""),"",
IF(AND(J56&gt;=EOMONTH(CK56,-1)+1,I56&lt;=EOMONTH(CK56,0)),
CJ56*
(MAX(0,MIN(J56,EOMONTH(CK56,0)) - MAX(I56,EOMONTH(CK56,-1)+1) + 1)
/
DAY(EOMONTH(CK56,0))
),
0))</f>
        <v>929.03225806451621</v>
      </c>
    </row>
    <row r="57" spans="1:90" x14ac:dyDescent="0.2">
      <c r="A57" s="58">
        <v>73</v>
      </c>
      <c r="B57" s="58" t="s">
        <v>196</v>
      </c>
      <c r="C57" s="6">
        <v>42804</v>
      </c>
      <c r="D57" s="3">
        <f ca="1">DATEDIF(C57,TODAY(),"Y") + DATEDIF(C57,TODAY(),"YM")/10</f>
        <v>9.1999999999999993</v>
      </c>
      <c r="E57" s="58" t="s">
        <v>197</v>
      </c>
      <c r="F57" s="3">
        <v>9760671071</v>
      </c>
      <c r="G57" s="7">
        <v>46032</v>
      </c>
      <c r="H57" s="7" t="str">
        <f ca="1">DATEDIF(G57,TODAY(),"M") &amp; " Months"</f>
        <v>4 Months</v>
      </c>
      <c r="I57" s="4">
        <v>46079</v>
      </c>
      <c r="J57" s="4">
        <f>EDATE(I57,3)</f>
        <v>46168</v>
      </c>
      <c r="K57" s="8">
        <v>36</v>
      </c>
      <c r="L57" s="8">
        <v>108</v>
      </c>
      <c r="M57" s="3">
        <f>I57+L57</f>
        <v>46187</v>
      </c>
      <c r="N57" s="9">
        <f ca="1">L57-(TODAY()-I57)</f>
        <v>14</v>
      </c>
      <c r="O57" s="8" t="str">
        <f ca="1">IF(J57="","",
IF(TODAY()&lt;=J57,"Active",
IF(N57&gt;0,"Grace",
IF(N57&gt;-30,"Inactive","Freeze"))))</f>
        <v>Grace</v>
      </c>
      <c r="P57" s="10">
        <v>8640</v>
      </c>
      <c r="Q57" s="11">
        <f>COUNTA(T57:CA57)</f>
        <v>21</v>
      </c>
      <c r="R57" s="3">
        <f>K57-Q57</f>
        <v>15</v>
      </c>
      <c r="S57" s="8" t="str">
        <f>IF(Q57&gt;=K57,"Complete","Incomplete")</f>
        <v>Incomplete</v>
      </c>
      <c r="T57" s="14">
        <v>46077</v>
      </c>
      <c r="U57" s="14">
        <v>46079</v>
      </c>
      <c r="V57" s="14">
        <v>46081</v>
      </c>
      <c r="W57" s="14">
        <v>46086</v>
      </c>
      <c r="X57" s="14">
        <v>46088</v>
      </c>
      <c r="Y57" s="14">
        <v>46090</v>
      </c>
      <c r="Z57" s="14">
        <v>46092</v>
      </c>
      <c r="AA57" s="14">
        <v>46094</v>
      </c>
      <c r="AB57" s="14">
        <v>46097</v>
      </c>
      <c r="AC57" s="14">
        <v>46117</v>
      </c>
      <c r="AD57" s="14">
        <v>46118</v>
      </c>
      <c r="AE57" s="14">
        <v>46121</v>
      </c>
      <c r="AF57" s="14">
        <v>46122</v>
      </c>
      <c r="AG57" s="14">
        <v>46123</v>
      </c>
      <c r="AH57" s="14">
        <v>46125</v>
      </c>
      <c r="AI57" s="14">
        <v>46154</v>
      </c>
      <c r="AJ57" s="14">
        <v>46164</v>
      </c>
      <c r="AK57" s="14">
        <v>46167</v>
      </c>
      <c r="AL57" s="14">
        <v>46168</v>
      </c>
      <c r="AM57" s="14">
        <v>46169</v>
      </c>
      <c r="AN57" s="14">
        <v>46171</v>
      </c>
      <c r="CI57" s="4" t="str">
        <f t="shared" si="0"/>
        <v>3</v>
      </c>
      <c r="CJ57" s="13">
        <f>IF(OR(P57="",CI57=""),"",P57/CI57)</f>
        <v>2880</v>
      </c>
      <c r="CK57" s="5">
        <f t="shared" ca="1" si="1"/>
        <v>46173</v>
      </c>
      <c r="CL57" s="13">
        <f ca="1">IF(OR(I57="",J57="",CJ57="",CK57=""),"",
IF(AND(J57&gt;=EOMONTH(CK57,-1)+1,I57&lt;=EOMONTH(CK57,0)),
CJ57*
(MAX(0,MIN(J57,EOMONTH(CK57,0)) - MAX(I57,EOMONTH(CK57,-1)+1) + 1)
/
DAY(EOMONTH(CK57,0))
),
0))</f>
        <v>2415.483870967742</v>
      </c>
    </row>
    <row r="58" spans="1:90" x14ac:dyDescent="0.2">
      <c r="A58" s="58">
        <v>74</v>
      </c>
      <c r="B58" s="58" t="s">
        <v>549</v>
      </c>
      <c r="C58" s="6">
        <v>44121</v>
      </c>
      <c r="D58" s="3">
        <f ca="1">DATEDIF(C58,TODAY(),"Y") + DATEDIF(C58,TODAY(),"YM")/10</f>
        <v>5.7</v>
      </c>
      <c r="E58" s="58" t="s">
        <v>198</v>
      </c>
      <c r="F58" s="3">
        <v>8698671353</v>
      </c>
      <c r="G58" s="7">
        <v>46033</v>
      </c>
      <c r="H58" s="7" t="str">
        <f ca="1">DATEDIF(G58,TODAY(),"M") &amp; " Months"</f>
        <v>4 Months</v>
      </c>
      <c r="I58" s="4">
        <v>46068</v>
      </c>
      <c r="J58" s="4">
        <f>EDATE(I58,1)</f>
        <v>46096</v>
      </c>
      <c r="K58" s="8">
        <v>12</v>
      </c>
      <c r="L58" s="8">
        <v>36</v>
      </c>
      <c r="M58" s="3">
        <f>I58+L58</f>
        <v>46104</v>
      </c>
      <c r="N58" s="9">
        <f ca="1">L58-(TODAY()-I58)</f>
        <v>-69</v>
      </c>
      <c r="O58" s="8" t="str">
        <f ca="1">IF(J58="","",
IF(TODAY()&lt;=J58,"Active",
IF(N58&gt;0,"Grace",
IF(N58&gt;-30,"Inactive","Freeze"))))</f>
        <v>Freeze</v>
      </c>
      <c r="P58" s="10"/>
      <c r="Q58" s="11">
        <f>COUNTA(T58:CA58)</f>
        <v>10</v>
      </c>
      <c r="R58" s="3">
        <f>K58-Q58</f>
        <v>2</v>
      </c>
      <c r="S58" s="8" t="str">
        <f>IF(Q58&gt;=K58,"Complete","Incomplete")</f>
        <v>Incomplete</v>
      </c>
      <c r="T58" s="14">
        <v>46068</v>
      </c>
      <c r="U58" s="3" t="s">
        <v>98</v>
      </c>
      <c r="V58" s="3" t="s">
        <v>98</v>
      </c>
      <c r="W58" s="3" t="s">
        <v>98</v>
      </c>
      <c r="X58" s="3" t="s">
        <v>98</v>
      </c>
      <c r="Y58" s="3" t="s">
        <v>98</v>
      </c>
      <c r="Z58" s="3" t="s">
        <v>98</v>
      </c>
      <c r="AA58" s="3" t="s">
        <v>98</v>
      </c>
      <c r="AB58" s="14">
        <v>46106</v>
      </c>
      <c r="AC58" s="14">
        <v>46117</v>
      </c>
      <c r="CI58" s="4" t="str">
        <f t="shared" si="0"/>
        <v>1</v>
      </c>
      <c r="CJ58" s="13" t="str">
        <f>IF(OR(P58="",CI58=""),"",P58/CI58)</f>
        <v/>
      </c>
      <c r="CK58" s="5">
        <f t="shared" ca="1" si="1"/>
        <v>46173</v>
      </c>
      <c r="CL58" s="13" t="str">
        <f ca="1">IF(OR(I58="",J58="",CJ58="",CK58=""),"",
IF(AND(J58&gt;=EOMONTH(CK58,-1)+1,I58&lt;=EOMONTH(CK58,0)),
CJ58*
(MAX(0,MIN(J58,EOMONTH(CK58,0)) - MAX(I58,EOMONTH(CK58,-1)+1) + 1)
/
DAY(EOMONTH(CK58,0))
),
0))</f>
        <v/>
      </c>
    </row>
    <row r="59" spans="1:90" x14ac:dyDescent="0.2">
      <c r="A59" s="58">
        <v>75</v>
      </c>
      <c r="B59" s="58" t="s">
        <v>550</v>
      </c>
      <c r="C59" s="6">
        <v>43055</v>
      </c>
      <c r="D59" s="3">
        <f ca="1">DATEDIF(C59,TODAY(),"Y") + DATEDIF(C59,TODAY(),"YM")/10</f>
        <v>8.6</v>
      </c>
      <c r="E59" s="58" t="s">
        <v>199</v>
      </c>
      <c r="F59" s="3">
        <v>8554967097</v>
      </c>
      <c r="G59" s="7">
        <v>46035</v>
      </c>
      <c r="H59" s="7" t="str">
        <f ca="1">DATEDIF(G59,TODAY(),"M") &amp; " Months"</f>
        <v>4 Months</v>
      </c>
      <c r="I59" s="4">
        <v>46118</v>
      </c>
      <c r="J59" s="4">
        <f>EDATE(I59,1)</f>
        <v>46148</v>
      </c>
      <c r="K59" s="8">
        <v>8</v>
      </c>
      <c r="L59" s="8">
        <v>34</v>
      </c>
      <c r="M59" s="3">
        <f>I59+L59</f>
        <v>46152</v>
      </c>
      <c r="N59" s="9">
        <f ca="1">L59-(TODAY()-I59)</f>
        <v>-21</v>
      </c>
      <c r="O59" s="8" t="str">
        <f ca="1">IF(J59="","",
IF(TODAY()&lt;=J59,"Active",
IF(N59&gt;0,"Grace",
IF(N59&gt;-30,"Inactive","Freeze"))))</f>
        <v>Inactive</v>
      </c>
      <c r="P59" s="10">
        <v>2600</v>
      </c>
      <c r="Q59" s="11">
        <f>COUNTA(T59:CA59)</f>
        <v>8</v>
      </c>
      <c r="R59" s="3">
        <f>K59-Q59</f>
        <v>0</v>
      </c>
      <c r="S59" s="8" t="str">
        <f>IF(Q59&gt;=K59,"Complete","Incomplete")</f>
        <v>Complete</v>
      </c>
      <c r="T59" s="14">
        <v>46118</v>
      </c>
      <c r="U59" s="14">
        <v>46119</v>
      </c>
      <c r="V59" s="14">
        <v>46125</v>
      </c>
      <c r="W59" s="14">
        <v>46126</v>
      </c>
      <c r="X59" s="14">
        <v>46128</v>
      </c>
      <c r="Y59" s="14">
        <v>46132</v>
      </c>
      <c r="Z59" s="14">
        <v>46133</v>
      </c>
      <c r="AA59" s="14">
        <v>46135</v>
      </c>
      <c r="CI59" s="4" t="str">
        <f t="shared" si="0"/>
        <v>1</v>
      </c>
      <c r="CJ59" s="13">
        <f>IF(OR(P59="",CI59=""),"",P59/CI59)</f>
        <v>2600</v>
      </c>
      <c r="CK59" s="5">
        <f t="shared" ca="1" si="1"/>
        <v>46173</v>
      </c>
      <c r="CL59" s="13">
        <f ca="1">IF(OR(I59="",J59="",CJ59="",CK59=""),"",
IF(AND(J59&gt;=EOMONTH(CK59,-1)+1,I59&lt;=EOMONTH(CK59,0)),
CJ59*
(MAX(0,MIN(J59,EOMONTH(CK59,0)) - MAX(I59,EOMONTH(CK59,-1)+1) + 1)
/
DAY(EOMONTH(CK59,0))
),
0))</f>
        <v>503.22580645161287</v>
      </c>
    </row>
    <row r="60" spans="1:90" x14ac:dyDescent="0.2">
      <c r="A60" s="58">
        <v>76</v>
      </c>
      <c r="B60" s="58" t="s">
        <v>200</v>
      </c>
      <c r="C60" s="6">
        <v>44163</v>
      </c>
      <c r="D60" s="3">
        <f ca="1">DATEDIF(C60,TODAY(),"Y") + DATEDIF(C60,TODAY(),"YM")/10</f>
        <v>5.6</v>
      </c>
      <c r="E60" s="58" t="s">
        <v>201</v>
      </c>
      <c r="F60" s="3">
        <v>7829863666</v>
      </c>
      <c r="G60" s="7">
        <v>46037</v>
      </c>
      <c r="H60" s="7" t="str">
        <f ca="1">DATEDIF(G60,TODAY(),"M") &amp; " Months"</f>
        <v>4 Months</v>
      </c>
      <c r="I60" s="4">
        <v>46114</v>
      </c>
      <c r="J60" s="4">
        <f>EDATE(I60,1)</f>
        <v>46144</v>
      </c>
      <c r="K60" s="8">
        <v>6</v>
      </c>
      <c r="L60" s="8">
        <v>30</v>
      </c>
      <c r="M60" s="3">
        <f>I60+L60</f>
        <v>46144</v>
      </c>
      <c r="N60" s="9">
        <f ca="1">L60-(TODAY()-I60)</f>
        <v>-29</v>
      </c>
      <c r="O60" s="8" t="str">
        <f ca="1">IF(J60="","",
IF(TODAY()&lt;=J60,"Active",
IF(N60&gt;0,"Grace",
IF(N60&gt;-30,"Inactive","Freeze"))))</f>
        <v>Inactive</v>
      </c>
      <c r="P60" s="10">
        <v>1602</v>
      </c>
      <c r="Q60" s="11">
        <f>COUNTA(T60:CA60)</f>
        <v>4</v>
      </c>
      <c r="R60" s="3">
        <f>K60-Q60</f>
        <v>2</v>
      </c>
      <c r="S60" s="8" t="str">
        <f>IF(Q60&gt;=K60,"Complete","Incomplete")</f>
        <v>Incomplete</v>
      </c>
      <c r="T60" s="14">
        <v>46129</v>
      </c>
      <c r="U60" s="14">
        <v>46133</v>
      </c>
      <c r="V60" s="14">
        <v>46136</v>
      </c>
      <c r="W60" s="14">
        <v>46139</v>
      </c>
      <c r="X60" s="14"/>
      <c r="Y60" s="14"/>
      <c r="Z60" s="14"/>
      <c r="AA60" s="14"/>
      <c r="AB60" s="14"/>
      <c r="AC60" s="14"/>
      <c r="AD60" s="14"/>
      <c r="AE60" s="14"/>
      <c r="AF60" s="14"/>
      <c r="CI60" s="4" t="str">
        <f t="shared" si="0"/>
        <v>1</v>
      </c>
      <c r="CJ60" s="13">
        <f>IF(OR(P60="",CI60=""),"",P60/CI60)</f>
        <v>1602</v>
      </c>
      <c r="CK60" s="5">
        <f t="shared" ca="1" si="1"/>
        <v>46173</v>
      </c>
      <c r="CL60" s="13">
        <f ca="1">IF(OR(I60="",J60="",CJ60="",CK60=""),"",
IF(AND(J60&gt;=EOMONTH(CK60,-1)+1,I60&lt;=EOMONTH(CK60,0)),
CJ60*
(MAX(0,MIN(J60,EOMONTH(CK60,0)) - MAX(I60,EOMONTH(CK60,-1)+1) + 1)
/
DAY(EOMONTH(CK60,0))
),
0))</f>
        <v>103.35483870967742</v>
      </c>
    </row>
    <row r="61" spans="1:90" x14ac:dyDescent="0.2">
      <c r="A61" s="58">
        <v>77</v>
      </c>
      <c r="B61" s="58" t="s">
        <v>551</v>
      </c>
      <c r="C61" s="6">
        <v>45098</v>
      </c>
      <c r="D61" s="3">
        <f ca="1">DATEDIF(C61,TODAY(),"Y") + DATEDIF(C61,TODAY(),"YM")/10</f>
        <v>3.1</v>
      </c>
      <c r="E61" s="58" t="s">
        <v>202</v>
      </c>
      <c r="F61" s="3">
        <v>9462448484</v>
      </c>
      <c r="G61" s="7">
        <v>46038</v>
      </c>
      <c r="H61" s="7" t="str">
        <f ca="1">DATEDIF(G61,TODAY(),"M") &amp; " Months"</f>
        <v>4 Months</v>
      </c>
      <c r="I61" s="4">
        <v>46149</v>
      </c>
      <c r="J61" s="4">
        <f>EDATE(I61,1)</f>
        <v>46180</v>
      </c>
      <c r="K61" s="8">
        <v>12</v>
      </c>
      <c r="L61" s="8">
        <v>36</v>
      </c>
      <c r="M61" s="3">
        <f>I61+L61</f>
        <v>46185</v>
      </c>
      <c r="N61" s="9">
        <f ca="1">L61-(TODAY()-I61)</f>
        <v>12</v>
      </c>
      <c r="O61" s="8" t="str">
        <f ca="1">IF(J61="","",
IF(TODAY()&lt;=J61,"Active",
IF(N61&gt;0,"Grace",
IF(N61&gt;-30,"Inactive","Freeze"))))</f>
        <v>Active</v>
      </c>
      <c r="P61" s="10">
        <v>3200</v>
      </c>
      <c r="Q61" s="11">
        <f>COUNTA(T61:CA61)</f>
        <v>6</v>
      </c>
      <c r="R61" s="3">
        <f>K61-Q61</f>
        <v>6</v>
      </c>
      <c r="S61" s="8" t="str">
        <f>IF(Q61&gt;=K61,"Complete","Incomplete")</f>
        <v>Incomplete</v>
      </c>
      <c r="T61" s="14">
        <v>46149</v>
      </c>
      <c r="U61" s="14">
        <v>46151</v>
      </c>
      <c r="V61" s="14">
        <v>46153</v>
      </c>
      <c r="W61" s="14">
        <v>46157</v>
      </c>
      <c r="X61" s="14">
        <v>46160</v>
      </c>
      <c r="Y61" s="14">
        <v>46163</v>
      </c>
      <c r="AA61" s="14"/>
      <c r="AB61" s="14"/>
      <c r="CI61" s="4" t="str">
        <f t="shared" si="0"/>
        <v>1</v>
      </c>
      <c r="CJ61" s="13">
        <f>IF(OR(P61="",CI61=""),"",P61/CI61)</f>
        <v>3200</v>
      </c>
      <c r="CK61" s="5">
        <f t="shared" ca="1" si="1"/>
        <v>46173</v>
      </c>
      <c r="CL61" s="13">
        <f ca="1">IF(OR(I61="",J61="",CJ61="",CK61=""),"",
IF(AND(J61&gt;=EOMONTH(CK61,-1)+1,I61&lt;=EOMONTH(CK61,0)),
CJ61*
(MAX(0,MIN(J61,EOMONTH(CK61,0)) - MAX(I61,EOMONTH(CK61,-1)+1) + 1)
/
DAY(EOMONTH(CK61,0))
),
0))</f>
        <v>2580.6451612903224</v>
      </c>
    </row>
    <row r="62" spans="1:90" x14ac:dyDescent="0.2">
      <c r="A62" s="58">
        <v>79</v>
      </c>
      <c r="B62" s="58" t="s">
        <v>203</v>
      </c>
      <c r="C62" s="6">
        <v>44363</v>
      </c>
      <c r="D62" s="3">
        <f ca="1">DATEDIF(C62,TODAY(),"Y") + DATEDIF(C62,TODAY(),"YM")/10</f>
        <v>5.0999999999999996</v>
      </c>
      <c r="E62" s="58" t="s">
        <v>107</v>
      </c>
      <c r="F62" s="3">
        <v>9096796123</v>
      </c>
      <c r="G62" s="7">
        <v>46043</v>
      </c>
      <c r="H62" s="7" t="str">
        <f ca="1">DATEDIF(G62,TODAY(),"M") &amp; " Months"</f>
        <v>4 Months</v>
      </c>
      <c r="I62" s="4">
        <v>46043</v>
      </c>
      <c r="J62" s="4">
        <f>EDATE(I62,1)</f>
        <v>46074</v>
      </c>
      <c r="M62" s="3">
        <f>I62+L62</f>
        <v>46043</v>
      </c>
      <c r="N62" s="9">
        <f ca="1">L62-(TODAY()-I62)</f>
        <v>-130</v>
      </c>
      <c r="O62" s="8" t="str">
        <f ca="1">IF(J62="","",
IF(TODAY()&lt;=J62,"Active",
IF(N62&gt;0,"Grace",
IF(N62&gt;-30,"Inactive","Freeze"))))</f>
        <v>Freeze</v>
      </c>
      <c r="P62" s="10"/>
      <c r="Q62" s="11">
        <f>COUNTA(T62:CA62)</f>
        <v>8</v>
      </c>
      <c r="R62" s="3">
        <f>K62-Q62</f>
        <v>-8</v>
      </c>
      <c r="S62" s="8" t="str">
        <f>IF(Q62&gt;=K62,"Complete","Incomplete")</f>
        <v>Complete</v>
      </c>
      <c r="T62" s="14">
        <v>46049</v>
      </c>
      <c r="U62" s="3" t="s">
        <v>98</v>
      </c>
      <c r="V62" s="3" t="s">
        <v>98</v>
      </c>
      <c r="W62" s="3" t="s">
        <v>98</v>
      </c>
      <c r="X62" s="3" t="s">
        <v>98</v>
      </c>
      <c r="Y62" s="3" t="s">
        <v>98</v>
      </c>
      <c r="Z62" s="3" t="s">
        <v>98</v>
      </c>
      <c r="AA62" s="14">
        <v>46076</v>
      </c>
      <c r="CI62" s="4" t="str">
        <f t="shared" si="0"/>
        <v>1</v>
      </c>
      <c r="CJ62" s="13" t="str">
        <f>IF(OR(P62="",CI62=""),"",P62/CI62)</f>
        <v/>
      </c>
      <c r="CK62" s="5">
        <f t="shared" ca="1" si="1"/>
        <v>46173</v>
      </c>
      <c r="CL62" s="13" t="str">
        <f ca="1">IF(OR(I62="",J62="",CJ62="",CK62=""),"",
IF(AND(J62&gt;=EOMONTH(CK62,-1)+1,I62&lt;=EOMONTH(CK62,0)),
CJ62*
(MAX(0,MIN(J62,EOMONTH(CK62,0)) - MAX(I62,EOMONTH(CK62,-1)+1) + 1)
/
DAY(EOMONTH(CK62,0))
),
0))</f>
        <v/>
      </c>
    </row>
    <row r="63" spans="1:90" x14ac:dyDescent="0.2">
      <c r="A63" s="58">
        <v>80</v>
      </c>
      <c r="B63" s="58" t="s">
        <v>552</v>
      </c>
      <c r="C63" s="6">
        <v>42332</v>
      </c>
      <c r="D63" s="3">
        <f ca="1">DATEDIF(C63,TODAY(),"Y") + DATEDIF(C63,TODAY(),"YM")/10</f>
        <v>10.6</v>
      </c>
      <c r="E63" s="58" t="s">
        <v>204</v>
      </c>
      <c r="F63" s="3">
        <v>9588716530</v>
      </c>
      <c r="G63" s="7">
        <v>46043</v>
      </c>
      <c r="H63" s="7" t="str">
        <f ca="1">DATEDIF(G63,TODAY(),"M") &amp; " Months"</f>
        <v>4 Months</v>
      </c>
      <c r="I63" s="4">
        <v>46073</v>
      </c>
      <c r="J63" s="4">
        <f>EDATE(I63,3)</f>
        <v>46162</v>
      </c>
      <c r="K63" s="8">
        <v>36</v>
      </c>
      <c r="L63" s="8">
        <v>108</v>
      </c>
      <c r="M63" s="3">
        <f>I63+L63</f>
        <v>46181</v>
      </c>
      <c r="N63" s="9">
        <f ca="1">L63-(TODAY()-I63)</f>
        <v>8</v>
      </c>
      <c r="O63" s="8" t="str">
        <f ca="1">IF(J63="","",
IF(TODAY()&lt;=J63,"Active",
IF(N63&gt;0,"Grace",
IF(N63&gt;-30,"Inactive","Freeze"))))</f>
        <v>Grace</v>
      </c>
      <c r="P63" s="10">
        <v>8640</v>
      </c>
      <c r="Q63" s="11">
        <f>COUNTA(T63:CA63)</f>
        <v>31</v>
      </c>
      <c r="R63" s="3">
        <f>K63-Q63</f>
        <v>5</v>
      </c>
      <c r="S63" s="8" t="str">
        <f>IF(Q63&gt;=K63,"Complete","Incomplete")</f>
        <v>Incomplete</v>
      </c>
      <c r="T63" s="14">
        <v>46073</v>
      </c>
      <c r="U63" s="14">
        <v>46075</v>
      </c>
      <c r="V63" s="14">
        <v>46078</v>
      </c>
      <c r="W63" s="14">
        <v>46082</v>
      </c>
      <c r="X63" s="14">
        <v>46087</v>
      </c>
      <c r="Y63" s="14">
        <v>46089</v>
      </c>
      <c r="Z63" s="14">
        <v>46094</v>
      </c>
      <c r="AA63" s="14">
        <v>46095</v>
      </c>
      <c r="AB63" s="14">
        <v>46099</v>
      </c>
      <c r="AC63" s="14">
        <v>46101</v>
      </c>
      <c r="AD63" s="14">
        <v>46103</v>
      </c>
      <c r="AE63" s="14">
        <v>46107</v>
      </c>
      <c r="AF63" s="14">
        <v>46108</v>
      </c>
      <c r="AG63" s="14">
        <v>46109</v>
      </c>
      <c r="AH63" s="14">
        <v>46113</v>
      </c>
      <c r="AI63" s="14">
        <v>46115</v>
      </c>
      <c r="AJ63" s="14">
        <v>46117</v>
      </c>
      <c r="AK63" s="14">
        <v>46120</v>
      </c>
      <c r="AL63" s="14">
        <v>46122</v>
      </c>
      <c r="AM63" s="14">
        <v>46123</v>
      </c>
      <c r="AN63" s="14">
        <v>46128</v>
      </c>
      <c r="AO63" s="14">
        <v>46129</v>
      </c>
      <c r="AP63" s="14">
        <v>46131</v>
      </c>
      <c r="AQ63" s="14">
        <v>46134</v>
      </c>
      <c r="AR63" s="14">
        <v>46136</v>
      </c>
      <c r="AS63" s="14">
        <v>46140</v>
      </c>
      <c r="AT63" s="14">
        <v>46143</v>
      </c>
      <c r="AU63" s="14">
        <v>46144</v>
      </c>
      <c r="AV63" s="14">
        <v>46145</v>
      </c>
      <c r="AW63" s="14">
        <v>46146</v>
      </c>
      <c r="AX63" s="14">
        <v>46171</v>
      </c>
      <c r="CI63" s="4" t="str">
        <f t="shared" si="0"/>
        <v>3</v>
      </c>
      <c r="CJ63" s="13">
        <f>IF(OR(P63="",CI63=""),"",P63/CI63)</f>
        <v>2880</v>
      </c>
      <c r="CK63" s="5">
        <f t="shared" ca="1" si="1"/>
        <v>46173</v>
      </c>
      <c r="CL63" s="13">
        <f ca="1">IF(OR(I63="",J63="",CJ63="",CK63=""),"",
IF(AND(J63&gt;=EOMONTH(CK63,-1)+1,I63&lt;=EOMONTH(CK63,0)),
CJ63*
(MAX(0,MIN(J63,EOMONTH(CK63,0)) - MAX(I63,EOMONTH(CK63,-1)+1) + 1)
/
DAY(EOMONTH(CK63,0))
),
0))</f>
        <v>1858.0645161290322</v>
      </c>
    </row>
    <row r="64" spans="1:90" x14ac:dyDescent="0.2">
      <c r="A64" s="58">
        <v>81</v>
      </c>
      <c r="B64" s="58" t="s">
        <v>205</v>
      </c>
      <c r="C64" s="6">
        <v>43571</v>
      </c>
      <c r="D64" s="3">
        <f ca="1">DATEDIF(C64,TODAY(),"Y") + DATEDIF(C64,TODAY(),"YM")/10</f>
        <v>7.1</v>
      </c>
      <c r="E64" s="58" t="s">
        <v>206</v>
      </c>
      <c r="F64" s="3">
        <v>8928885175</v>
      </c>
      <c r="G64" s="7">
        <v>46045</v>
      </c>
      <c r="H64" s="7" t="str">
        <f ca="1">DATEDIF(G64,TODAY(),"M") &amp; " Months"</f>
        <v>4 Months</v>
      </c>
      <c r="I64" s="4">
        <v>46147</v>
      </c>
      <c r="J64" s="4">
        <f>EDATE(I64,1)</f>
        <v>46178</v>
      </c>
      <c r="K64" s="8">
        <v>8</v>
      </c>
      <c r="L64" s="8">
        <v>34</v>
      </c>
      <c r="M64" s="3">
        <f>I64+L64</f>
        <v>46181</v>
      </c>
      <c r="N64" s="9">
        <f ca="1">L64-(TODAY()-I64)</f>
        <v>8</v>
      </c>
      <c r="O64" s="8" t="str">
        <f ca="1">IF(J64="","",
IF(TODAY()&lt;=J64,"Active",
IF(N64&gt;0,"Grace",
IF(N64&gt;-30,"Inactive","Freeze"))))</f>
        <v>Active</v>
      </c>
      <c r="P64" s="10">
        <v>2600</v>
      </c>
      <c r="Q64" s="11">
        <f>COUNTA(T64:CA64)</f>
        <v>7</v>
      </c>
      <c r="R64" s="3">
        <f>K64-Q64</f>
        <v>1</v>
      </c>
      <c r="S64" s="8" t="str">
        <f>IF(Q64&gt;=K64,"Complete","Incomplete")</f>
        <v>Incomplete</v>
      </c>
      <c r="T64" s="14">
        <v>46116</v>
      </c>
      <c r="U64" s="14">
        <v>46126</v>
      </c>
      <c r="V64" s="14">
        <v>46147</v>
      </c>
      <c r="W64" s="14">
        <v>46154</v>
      </c>
      <c r="X64" s="14">
        <v>46157</v>
      </c>
      <c r="Y64" s="14">
        <v>46160</v>
      </c>
      <c r="Z64" s="14">
        <v>46167</v>
      </c>
      <c r="AA64" s="14"/>
      <c r="AB64" s="14"/>
      <c r="AC64" s="14"/>
      <c r="AD64" s="14"/>
      <c r="CI64" s="4" t="str">
        <f t="shared" si="0"/>
        <v>1</v>
      </c>
      <c r="CJ64" s="13">
        <f>IF(OR(P64="",CI64=""),"",P64/CI64)</f>
        <v>2600</v>
      </c>
      <c r="CK64" s="5">
        <f t="shared" ca="1" si="1"/>
        <v>46173</v>
      </c>
      <c r="CL64" s="13">
        <f ca="1">IF(OR(I64="",J64="",CJ64="",CK64=""),"",
IF(AND(J64&gt;=EOMONTH(CK64,-1)+1,I64&lt;=EOMONTH(CK64,0)),
CJ64*
(MAX(0,MIN(J64,EOMONTH(CK64,0)) - MAX(I64,EOMONTH(CK64,-1)+1) + 1)
/
DAY(EOMONTH(CK64,0))
),
0))</f>
        <v>2264.516129032258</v>
      </c>
    </row>
    <row r="65" spans="1:90" x14ac:dyDescent="0.2">
      <c r="A65" s="58">
        <v>82</v>
      </c>
      <c r="B65" s="58" t="s">
        <v>553</v>
      </c>
      <c r="C65" s="6">
        <v>44685</v>
      </c>
      <c r="D65" s="3">
        <f ca="1">DATEDIF(C65,TODAY(),"Y") + DATEDIF(C65,TODAY(),"YM")/10</f>
        <v>4</v>
      </c>
      <c r="E65" s="58" t="s">
        <v>189</v>
      </c>
      <c r="F65" s="3">
        <v>9766969946</v>
      </c>
      <c r="G65" s="7">
        <v>46045</v>
      </c>
      <c r="H65" s="7" t="str">
        <f ca="1">DATEDIF(G65,TODAY(),"M") &amp; " Months"</f>
        <v>4 Months</v>
      </c>
      <c r="I65" s="4">
        <v>46123</v>
      </c>
      <c r="J65" s="4">
        <f>EDATE(I65,1)</f>
        <v>46153</v>
      </c>
      <c r="K65" s="8">
        <v>8</v>
      </c>
      <c r="L65" s="8">
        <v>34</v>
      </c>
      <c r="M65" s="3">
        <f>I65+L65</f>
        <v>46157</v>
      </c>
      <c r="N65" s="9">
        <f ca="1">L65-(TODAY()-I65)</f>
        <v>-16</v>
      </c>
      <c r="O65" s="8" t="str">
        <f ca="1">IF(J65="","",
IF(TODAY()&lt;=J65,"Active",
IF(N65&gt;0,"Grace",
IF(N65&gt;-30,"Inactive","Freeze"))))</f>
        <v>Inactive</v>
      </c>
      <c r="P65" s="10">
        <v>2600</v>
      </c>
      <c r="Q65" s="11">
        <f>COUNTA(T65:CA65)</f>
        <v>7</v>
      </c>
      <c r="R65" s="3">
        <f>K65-Q65</f>
        <v>1</v>
      </c>
      <c r="S65" s="8" t="str">
        <f>IF(Q65&gt;=K65,"Complete","Incomplete")</f>
        <v>Incomplete</v>
      </c>
      <c r="T65" s="14">
        <v>46123</v>
      </c>
      <c r="U65" s="14">
        <v>46126</v>
      </c>
      <c r="V65" s="14">
        <v>46133</v>
      </c>
      <c r="W65" s="14">
        <v>46140</v>
      </c>
      <c r="X65" s="14">
        <v>46147</v>
      </c>
      <c r="Y65" s="14">
        <v>46151</v>
      </c>
      <c r="Z65" s="14">
        <v>46154</v>
      </c>
      <c r="CI65" s="4" t="str">
        <f t="shared" si="0"/>
        <v>1</v>
      </c>
      <c r="CJ65" s="13">
        <f>IF(OR(P65="",CI65=""),"",P65/CI65)</f>
        <v>2600</v>
      </c>
      <c r="CK65" s="5">
        <f t="shared" ca="1" si="1"/>
        <v>46173</v>
      </c>
      <c r="CL65" s="13">
        <f ca="1">IF(OR(I65="",J65="",CJ65="",CK65=""),"",
IF(AND(J65&gt;=EOMONTH(CK65,-1)+1,I65&lt;=EOMONTH(CK65,0)),
CJ65*
(MAX(0,MIN(J65,EOMONTH(CK65,0)) - MAX(I65,EOMONTH(CK65,-1)+1) + 1)
/
DAY(EOMONTH(CK65,0))
),
0))</f>
        <v>922.58064516129036</v>
      </c>
    </row>
    <row r="66" spans="1:90" x14ac:dyDescent="0.2">
      <c r="A66" s="58">
        <v>83</v>
      </c>
      <c r="B66" s="58" t="s">
        <v>554</v>
      </c>
      <c r="C66" s="6">
        <v>43919</v>
      </c>
      <c r="D66" s="3">
        <f ca="1">DATEDIF(C66,TODAY(),"Y") + DATEDIF(C66,TODAY(),"YM")/10</f>
        <v>6.2</v>
      </c>
      <c r="E66" s="58" t="s">
        <v>207</v>
      </c>
      <c r="F66" s="3">
        <v>8770538963</v>
      </c>
      <c r="G66" s="7">
        <v>46057</v>
      </c>
      <c r="H66" s="7" t="str">
        <f ca="1">DATEDIF(G66,TODAY(),"M") &amp; " Months"</f>
        <v>3 Months</v>
      </c>
      <c r="I66" s="4">
        <v>46104</v>
      </c>
      <c r="J66" s="4">
        <f>EDATE(I66,3)</f>
        <v>46196</v>
      </c>
      <c r="K66" s="8">
        <v>36</v>
      </c>
      <c r="L66" s="8">
        <v>108</v>
      </c>
      <c r="M66" s="3">
        <f>I66+L66</f>
        <v>46212</v>
      </c>
      <c r="N66" s="9">
        <f ca="1">L66-(TODAY()-I66)</f>
        <v>39</v>
      </c>
      <c r="O66" s="8" t="str">
        <f ca="1">IF(J66="","",
IF(TODAY()&lt;=J66,"Active",
IF(N66&gt;0,"Grace",
IF(N66&gt;-30,"Inactive","Freeze"))))</f>
        <v>Active</v>
      </c>
      <c r="P66" s="10">
        <v>8640</v>
      </c>
      <c r="Q66" s="11">
        <f>COUNTA(T66:CA66)</f>
        <v>10</v>
      </c>
      <c r="R66" s="3">
        <f>K66-Q66</f>
        <v>26</v>
      </c>
      <c r="S66" s="8" t="str">
        <f>IF(Q66&gt;=K66,"Complete","Incomplete")</f>
        <v>Incomplete</v>
      </c>
      <c r="T66" s="14">
        <v>46113</v>
      </c>
      <c r="U66" s="14">
        <v>46115</v>
      </c>
      <c r="V66" s="14">
        <v>46122</v>
      </c>
      <c r="W66" s="14">
        <v>46125</v>
      </c>
      <c r="X66" s="14">
        <v>46129</v>
      </c>
      <c r="Y66" s="14">
        <v>46132</v>
      </c>
      <c r="Z66" s="14">
        <v>46134</v>
      </c>
      <c r="AA66" s="14">
        <v>46136</v>
      </c>
      <c r="AB66" s="14">
        <v>46141</v>
      </c>
      <c r="AC66" s="14">
        <v>46143</v>
      </c>
      <c r="CI66" s="4" t="str">
        <f t="shared" si="0"/>
        <v>3</v>
      </c>
      <c r="CJ66" s="13">
        <f>IF(OR(P66="",CI66=""),"",P66/CI66)</f>
        <v>2880</v>
      </c>
      <c r="CK66" s="5">
        <f t="shared" ca="1" si="1"/>
        <v>46173</v>
      </c>
      <c r="CL66" s="13">
        <f ca="1">IF(OR(I66="",J66="",CJ66="",CK66=""),"",
IF(AND(J66&gt;=EOMONTH(CK66,-1)+1,I66&lt;=EOMONTH(CK66,0)),
CJ66*
(MAX(0,MIN(J66,EOMONTH(CK66,0)) - MAX(I66,EOMONTH(CK66,-1)+1) + 1)
/
DAY(EOMONTH(CK66,0))
),
0))</f>
        <v>2880</v>
      </c>
    </row>
    <row r="67" spans="1:90" x14ac:dyDescent="0.2">
      <c r="A67" s="58">
        <v>84</v>
      </c>
      <c r="B67" s="58" t="s">
        <v>555</v>
      </c>
      <c r="C67" s="6">
        <v>44144</v>
      </c>
      <c r="D67" s="3">
        <f ca="1">DATEDIF(C67,TODAY(),"Y") + DATEDIF(C67,TODAY(),"YM")/10</f>
        <v>5.6</v>
      </c>
      <c r="E67" s="58" t="s">
        <v>208</v>
      </c>
      <c r="F67" s="3">
        <v>9359089719</v>
      </c>
      <c r="G67" s="7">
        <v>46052</v>
      </c>
      <c r="H67" s="7" t="str">
        <f ca="1">DATEDIF(G67,TODAY(),"M") &amp; " Months"</f>
        <v>4 Months</v>
      </c>
      <c r="I67" s="4">
        <v>46087</v>
      </c>
      <c r="J67" s="4">
        <f>EDATE(I67,1)</f>
        <v>46118</v>
      </c>
      <c r="K67" s="8">
        <v>8</v>
      </c>
      <c r="L67" s="8">
        <v>34</v>
      </c>
      <c r="M67" s="3">
        <f>I67+L67</f>
        <v>46121</v>
      </c>
      <c r="N67" s="9">
        <f ca="1">L67-(TODAY()-I67)</f>
        <v>-52</v>
      </c>
      <c r="O67" s="8" t="str">
        <f ca="1">IF(J67="","",
IF(TODAY()&lt;=J67,"Active",
IF(N67&gt;0,"Grace",
IF(N67&gt;-30,"Inactive","Freeze"))))</f>
        <v>Freeze</v>
      </c>
      <c r="P67" s="10">
        <v>2600</v>
      </c>
      <c r="Q67" s="11">
        <f>COUNTA(T67:CA67)</f>
        <v>9</v>
      </c>
      <c r="R67" s="3">
        <f>K67-Q67</f>
        <v>-1</v>
      </c>
      <c r="S67" s="8" t="str">
        <f>IF(Q67&gt;=K67,"Complete","Incomplete")</f>
        <v>Complete</v>
      </c>
      <c r="T67" s="14">
        <v>46087</v>
      </c>
      <c r="U67" s="14">
        <v>46091</v>
      </c>
      <c r="V67" s="14">
        <v>46093</v>
      </c>
      <c r="W67" s="14">
        <v>46098</v>
      </c>
      <c r="X67" s="14">
        <v>46105</v>
      </c>
      <c r="Y67" s="14">
        <v>46108</v>
      </c>
      <c r="Z67" s="14">
        <v>46112</v>
      </c>
      <c r="AA67" s="14">
        <v>46115</v>
      </c>
      <c r="AB67" s="14">
        <v>46119</v>
      </c>
      <c r="CI67" s="4" t="str">
        <f t="shared" si="0"/>
        <v>1</v>
      </c>
      <c r="CJ67" s="13">
        <f>IF(OR(P67="",CI67=""),"",P67/CI67)</f>
        <v>2600</v>
      </c>
      <c r="CK67" s="5">
        <f t="shared" ca="1" si="1"/>
        <v>46173</v>
      </c>
      <c r="CL67" s="13">
        <f ca="1">IF(OR(I67="",J67="",CJ67="",CK67=""),"",
IF(AND(J67&gt;=EOMONTH(CK67,-1)+1,I67&lt;=EOMONTH(CK67,0)),
CJ67*
(MAX(0,MIN(J67,EOMONTH(CK67,0)) - MAX(I67,EOMONTH(CK67,-1)+1) + 1)
/
DAY(EOMONTH(CK67,0))
),
0))</f>
        <v>0</v>
      </c>
    </row>
    <row r="68" spans="1:90" x14ac:dyDescent="0.2">
      <c r="A68" s="58">
        <v>85</v>
      </c>
      <c r="B68" s="58" t="s">
        <v>556</v>
      </c>
      <c r="C68" s="6">
        <v>44552</v>
      </c>
      <c r="D68" s="3">
        <f ca="1">DATEDIF(C68,TODAY(),"Y") + DATEDIF(C68,TODAY(),"YM")/10</f>
        <v>4.5</v>
      </c>
      <c r="E68" s="58" t="s">
        <v>209</v>
      </c>
      <c r="F68" s="3">
        <v>9979229585</v>
      </c>
      <c r="G68" s="7">
        <v>46055</v>
      </c>
      <c r="H68" s="7" t="str">
        <f ca="1">DATEDIF(G68,TODAY(),"M") &amp; " Months"</f>
        <v>3 Months</v>
      </c>
      <c r="I68" s="4">
        <v>46118</v>
      </c>
      <c r="J68" s="4">
        <f>EDATE(I68,1)</f>
        <v>46148</v>
      </c>
      <c r="K68" s="8">
        <v>6</v>
      </c>
      <c r="L68" s="8">
        <v>12</v>
      </c>
      <c r="M68" s="3">
        <f>I68+L68</f>
        <v>46130</v>
      </c>
      <c r="N68" s="9">
        <f ca="1">L68-(TODAY()-I68)</f>
        <v>-43</v>
      </c>
      <c r="O68" s="8" t="str">
        <f ca="1">IF(J68="","",
IF(TODAY()&lt;=J68,"Active",
IF(N68&gt;0,"Grace",
IF(N68&gt;-30,"Inactive","Freeze"))))</f>
        <v>Freeze</v>
      </c>
      <c r="P68" s="10">
        <v>1600</v>
      </c>
      <c r="Q68" s="11">
        <f>COUNTA(T68:CA68)</f>
        <v>6</v>
      </c>
      <c r="R68" s="3">
        <f>K68-Q68</f>
        <v>0</v>
      </c>
      <c r="S68" s="8" t="str">
        <f>IF(Q68&gt;=K68,"Complete","Incomplete")</f>
        <v>Complete</v>
      </c>
      <c r="T68" s="14">
        <v>46118</v>
      </c>
      <c r="U68" s="14">
        <v>46119</v>
      </c>
      <c r="V68" s="14">
        <v>46122</v>
      </c>
      <c r="W68" s="14">
        <v>46127</v>
      </c>
      <c r="X68" s="14">
        <v>46128</v>
      </c>
      <c r="Y68" s="14">
        <v>46129</v>
      </c>
      <c r="Z68" s="14"/>
      <c r="AA68" s="14"/>
      <c r="AB68" s="14"/>
      <c r="AC68" s="14"/>
      <c r="AD68" s="14"/>
      <c r="AE68" s="14"/>
      <c r="CI68" s="4" t="str">
        <f t="shared" ref="CI68:CI131" si="2">IF(OR(I68="",J68=""),"",
IF(J68-I68&lt;=31,"1",
IF(J68-I68&lt;=93,"3","")))</f>
        <v>1</v>
      </c>
      <c r="CJ68" s="13">
        <f>IF(OR(P68="",CI68=""),"",P68/CI68)</f>
        <v>1600</v>
      </c>
      <c r="CK68" s="5">
        <f t="shared" ref="CK68:CK131" ca="1" si="3">CK67</f>
        <v>46173</v>
      </c>
      <c r="CL68" s="13">
        <f ca="1">IF(OR(I68="",J68="",CJ68="",CK68=""),"",
IF(AND(J68&gt;=EOMONTH(CK68,-1)+1,I68&lt;=EOMONTH(CK68,0)),
CJ68*
(MAX(0,MIN(J68,EOMONTH(CK68,0)) - MAX(I68,EOMONTH(CK68,-1)+1) + 1)
/
DAY(EOMONTH(CK68,0))
),
0))</f>
        <v>309.67741935483872</v>
      </c>
    </row>
    <row r="69" spans="1:90" x14ac:dyDescent="0.2">
      <c r="A69" s="58">
        <v>86</v>
      </c>
      <c r="B69" s="58" t="s">
        <v>557</v>
      </c>
      <c r="C69" s="6">
        <v>44370</v>
      </c>
      <c r="D69" s="3">
        <f ca="1">DATEDIF(C69,TODAY(),"Y") + DATEDIF(C69,TODAY(),"YM")/10</f>
        <v>5.0999999999999996</v>
      </c>
      <c r="E69" s="58" t="s">
        <v>210</v>
      </c>
      <c r="F69" s="3">
        <v>8856882154</v>
      </c>
      <c r="G69" s="7">
        <v>46057</v>
      </c>
      <c r="H69" s="7" t="str">
        <f ca="1">DATEDIF(G69,TODAY(),"M") &amp; " Months"</f>
        <v>3 Months</v>
      </c>
      <c r="I69" s="4">
        <v>46085</v>
      </c>
      <c r="J69" s="4">
        <f>EDATE(I69,3)</f>
        <v>46177</v>
      </c>
      <c r="K69" s="8">
        <v>36</v>
      </c>
      <c r="L69" s="8">
        <v>108</v>
      </c>
      <c r="M69" s="3">
        <f>I69+L69</f>
        <v>46193</v>
      </c>
      <c r="N69" s="9">
        <f ca="1">L69-(TODAY()-I69)</f>
        <v>20</v>
      </c>
      <c r="O69" s="8" t="str">
        <f ca="1">IF(J69="","",
IF(TODAY()&lt;=J69,"Active",
IF(N69&gt;0,"Grace",
IF(N69&gt;-30,"Inactive","Freeze"))))</f>
        <v>Active</v>
      </c>
      <c r="P69" s="10">
        <v>8640</v>
      </c>
      <c r="Q69" s="11">
        <f>COUNTA(T69:CA69)</f>
        <v>25</v>
      </c>
      <c r="R69" s="3">
        <f>K69-Q69</f>
        <v>11</v>
      </c>
      <c r="S69" s="8" t="str">
        <f>IF(Q69&gt;=K69,"Complete","Incomplete")</f>
        <v>Incomplete</v>
      </c>
      <c r="T69" s="14">
        <v>46085</v>
      </c>
      <c r="U69" s="14">
        <v>46086</v>
      </c>
      <c r="V69" s="14">
        <v>46088</v>
      </c>
      <c r="W69" s="14">
        <v>46092</v>
      </c>
      <c r="X69" s="14">
        <v>46093</v>
      </c>
      <c r="Y69" s="14">
        <v>46098</v>
      </c>
      <c r="Z69" s="14">
        <v>46101</v>
      </c>
      <c r="AA69" s="14">
        <v>46105</v>
      </c>
      <c r="AB69" s="14">
        <v>46106</v>
      </c>
      <c r="AC69" s="14">
        <v>46111</v>
      </c>
      <c r="AD69" s="14">
        <v>46112</v>
      </c>
      <c r="AE69" s="14">
        <v>46115</v>
      </c>
      <c r="AF69" s="14">
        <v>46118</v>
      </c>
      <c r="AG69" s="14">
        <v>46119</v>
      </c>
      <c r="AH69" s="14">
        <v>46121</v>
      </c>
      <c r="AI69" s="14">
        <v>46122</v>
      </c>
      <c r="AJ69" s="14">
        <v>46123</v>
      </c>
      <c r="AK69" s="14">
        <v>46127</v>
      </c>
      <c r="AL69" s="14">
        <v>46128</v>
      </c>
      <c r="AM69" s="14">
        <v>46130</v>
      </c>
      <c r="AN69" s="14">
        <v>46136</v>
      </c>
      <c r="AO69" s="14">
        <v>46137</v>
      </c>
      <c r="AP69" s="14">
        <v>46140</v>
      </c>
      <c r="AQ69" s="3" t="s">
        <v>211</v>
      </c>
      <c r="AR69" s="14">
        <v>46143</v>
      </c>
      <c r="CI69" s="4" t="str">
        <f t="shared" si="2"/>
        <v>3</v>
      </c>
      <c r="CJ69" s="13">
        <f>IF(OR(P69="",CI69=""),"",P69/CI69)</f>
        <v>2880</v>
      </c>
      <c r="CK69" s="5">
        <f t="shared" ca="1" si="3"/>
        <v>46173</v>
      </c>
      <c r="CL69" s="13">
        <f ca="1">IF(OR(I69="",J69="",CJ69="",CK69=""),"",
IF(AND(J69&gt;=EOMONTH(CK69,-1)+1,I69&lt;=EOMONTH(CK69,0)),
CJ69*
(MAX(0,MIN(J69,EOMONTH(CK69,0)) - MAX(I69,EOMONTH(CK69,-1)+1) + 1)
/
DAY(EOMONTH(CK69,0))
),
0))</f>
        <v>2880</v>
      </c>
    </row>
    <row r="70" spans="1:90" x14ac:dyDescent="0.2">
      <c r="A70" s="58">
        <v>87</v>
      </c>
      <c r="B70" s="58" t="s">
        <v>558</v>
      </c>
      <c r="C70" s="6">
        <v>43254</v>
      </c>
      <c r="D70" s="3">
        <f ca="1">DATEDIF(C70,TODAY(),"Y") + DATEDIF(C70,TODAY(),"YM")/10</f>
        <v>8.1</v>
      </c>
      <c r="E70" s="58" t="s">
        <v>212</v>
      </c>
      <c r="F70" s="3">
        <v>7875162767</v>
      </c>
      <c r="G70" s="7">
        <v>46060</v>
      </c>
      <c r="H70" s="7" t="str">
        <f ca="1">DATEDIF(G70,TODAY(),"M") &amp; " Months"</f>
        <v>3 Months</v>
      </c>
      <c r="I70" s="4">
        <v>46060</v>
      </c>
      <c r="J70" s="4">
        <f>EDATE(I70,3)</f>
        <v>46149</v>
      </c>
      <c r="K70" s="8">
        <v>36</v>
      </c>
      <c r="L70" s="8">
        <v>108</v>
      </c>
      <c r="M70" s="3">
        <f>I70+L70</f>
        <v>46168</v>
      </c>
      <c r="N70" s="9">
        <f ca="1">L70-(TODAY()-I70)</f>
        <v>-5</v>
      </c>
      <c r="O70" s="8" t="str">
        <f ca="1">IF(J70="","",
IF(TODAY()&lt;=J70,"Active",
IF(N70&gt;0,"Grace",
IF(N70&gt;-30,"Inactive","Freeze"))))</f>
        <v>Inactive</v>
      </c>
      <c r="P70" s="10">
        <v>8640</v>
      </c>
      <c r="Q70" s="11">
        <f>COUNTA(T70:CA70)</f>
        <v>26</v>
      </c>
      <c r="R70" s="3">
        <f>K70-Q70</f>
        <v>10</v>
      </c>
      <c r="S70" s="8" t="str">
        <f>IF(Q70&gt;=K70,"Complete","Incomplete")</f>
        <v>Incomplete</v>
      </c>
      <c r="T70" s="14">
        <v>46060</v>
      </c>
      <c r="U70" s="14">
        <v>46061</v>
      </c>
      <c r="V70" s="14">
        <v>46065</v>
      </c>
      <c r="W70" s="14">
        <v>46066</v>
      </c>
      <c r="X70" s="14">
        <v>46076</v>
      </c>
      <c r="Y70" s="14">
        <v>46077</v>
      </c>
      <c r="Z70" s="14">
        <v>46078</v>
      </c>
      <c r="AA70" s="14">
        <v>46079</v>
      </c>
      <c r="AB70" s="14">
        <v>46080</v>
      </c>
      <c r="AC70" s="14">
        <v>46085</v>
      </c>
      <c r="AD70" s="14">
        <v>46097</v>
      </c>
      <c r="AE70" s="14">
        <v>46098</v>
      </c>
      <c r="AF70" s="14">
        <v>46099</v>
      </c>
      <c r="AG70" s="14">
        <v>46104</v>
      </c>
      <c r="AH70" s="14">
        <v>46105</v>
      </c>
      <c r="AI70" s="14">
        <v>46106</v>
      </c>
      <c r="AJ70" s="14">
        <v>46107</v>
      </c>
      <c r="AK70" s="14">
        <v>46108</v>
      </c>
      <c r="AL70" s="14">
        <v>46115</v>
      </c>
      <c r="AM70" s="14">
        <v>46116</v>
      </c>
      <c r="AN70" s="14">
        <v>46118</v>
      </c>
      <c r="AO70" s="14">
        <v>46121</v>
      </c>
      <c r="AP70" s="14">
        <v>46125</v>
      </c>
      <c r="AQ70" s="14">
        <v>46129</v>
      </c>
      <c r="AR70" s="14">
        <v>46139</v>
      </c>
      <c r="AS70" s="14">
        <v>46147</v>
      </c>
      <c r="CI70" s="4" t="str">
        <f t="shared" si="2"/>
        <v>3</v>
      </c>
      <c r="CJ70" s="13">
        <f>IF(OR(P70="",CI70=""),"",P70/CI70)</f>
        <v>2880</v>
      </c>
      <c r="CK70" s="5">
        <f t="shared" ca="1" si="3"/>
        <v>46173</v>
      </c>
      <c r="CL70" s="13">
        <f ca="1">IF(OR(I70="",J70="",CJ70="",CK70=""),"",
IF(AND(J70&gt;=EOMONTH(CK70,-1)+1,I70&lt;=EOMONTH(CK70,0)),
CJ70*
(MAX(0,MIN(J70,EOMONTH(CK70,0)) - MAX(I70,EOMONTH(CK70,-1)+1) + 1)
/
DAY(EOMONTH(CK70,0))
),
0))</f>
        <v>650.32258064516122</v>
      </c>
    </row>
    <row r="71" spans="1:90" x14ac:dyDescent="0.2">
      <c r="A71" s="58">
        <v>89</v>
      </c>
      <c r="B71" s="58" t="s">
        <v>559</v>
      </c>
      <c r="C71" s="6">
        <v>46032</v>
      </c>
      <c r="D71" s="3">
        <f ca="1">DATEDIF(C71,TODAY(),"Y") + DATEDIF(C71,TODAY(),"YM")/10</f>
        <v>0.4</v>
      </c>
      <c r="E71" s="58" t="s">
        <v>206</v>
      </c>
      <c r="F71" s="3">
        <v>9623454387</v>
      </c>
      <c r="G71" s="7">
        <v>46066</v>
      </c>
      <c r="H71" s="7" t="str">
        <f ca="1">DATEDIF(G71,TODAY(),"M") &amp; " Months"</f>
        <v>3 Months</v>
      </c>
      <c r="I71" s="4">
        <v>46066</v>
      </c>
      <c r="J71" s="4">
        <f>EDATE(I71,1)</f>
        <v>46094</v>
      </c>
      <c r="K71" s="8">
        <v>12</v>
      </c>
      <c r="L71" s="8">
        <v>36</v>
      </c>
      <c r="M71" s="3">
        <f>I71+L71</f>
        <v>46102</v>
      </c>
      <c r="N71" s="9">
        <f ca="1">L71-(TODAY()-I71)</f>
        <v>-71</v>
      </c>
      <c r="O71" s="8" t="str">
        <f ca="1">IF(J71="","",
IF(TODAY()&lt;=J71,"Active",
IF(N71&gt;0,"Grace",
IF(N71&gt;-30,"Inactive","Freeze"))))</f>
        <v>Freeze</v>
      </c>
      <c r="P71" s="10"/>
      <c r="Q71" s="11">
        <f>COUNTA(T71:CA71)</f>
        <v>1</v>
      </c>
      <c r="R71" s="3">
        <f>K71-Q71</f>
        <v>11</v>
      </c>
      <c r="S71" s="8" t="str">
        <f>IF(Q71&gt;=K71,"Complete","Incomplete")</f>
        <v>Incomplete</v>
      </c>
      <c r="T71" s="14">
        <v>46067</v>
      </c>
      <c r="CI71" s="4" t="str">
        <f t="shared" si="2"/>
        <v>1</v>
      </c>
      <c r="CJ71" s="13" t="str">
        <f>IF(OR(P71="",CI71=""),"",P71/CI71)</f>
        <v/>
      </c>
      <c r="CK71" s="5">
        <f t="shared" ca="1" si="3"/>
        <v>46173</v>
      </c>
      <c r="CL71" s="13" t="str">
        <f ca="1">IF(OR(I71="",J71="",CJ71="",CK71=""),"",
IF(AND(J71&gt;=EOMONTH(CK71,-1)+1,I71&lt;=EOMONTH(CK71,0)),
CJ71*
(MAX(0,MIN(J71,EOMONTH(CK71,0)) - MAX(I71,EOMONTH(CK71,-1)+1) + 1)
/
DAY(EOMONTH(CK71,0))
),
0))</f>
        <v/>
      </c>
    </row>
    <row r="72" spans="1:90" x14ac:dyDescent="0.2">
      <c r="A72" s="58">
        <v>90</v>
      </c>
      <c r="B72" s="58" t="s">
        <v>560</v>
      </c>
      <c r="D72" s="3">
        <f ca="1">DATEDIF(C72,TODAY(),"Y") + DATEDIF(C72,TODAY(),"YM")/10</f>
        <v>126.4</v>
      </c>
      <c r="E72" s="58" t="s">
        <v>214</v>
      </c>
      <c r="F72" s="1">
        <v>7498797361</v>
      </c>
      <c r="G72" s="7">
        <v>45992</v>
      </c>
      <c r="H72" s="7" t="str">
        <f ca="1">DATEDIF(G72,TODAY(),"M") &amp; " Months"</f>
        <v>5 Months</v>
      </c>
      <c r="I72" s="4">
        <v>46147</v>
      </c>
      <c r="J72" s="4">
        <f>EDATE(I72,1)</f>
        <v>46178</v>
      </c>
      <c r="K72" s="8">
        <v>8</v>
      </c>
      <c r="L72" s="8">
        <v>34</v>
      </c>
      <c r="M72" s="3">
        <f>I72+L72</f>
        <v>46181</v>
      </c>
      <c r="N72" s="9">
        <f ca="1">L72-(TODAY()-I72)</f>
        <v>8</v>
      </c>
      <c r="O72" s="8" t="str">
        <f ca="1">IF(J72="","",
IF(TODAY()&lt;=J72,"Active",
IF(N72&gt;0,"Grace",
IF(N72&gt;-30,"Inactive","Freeze"))))</f>
        <v>Active</v>
      </c>
      <c r="P72" s="10">
        <v>2600</v>
      </c>
      <c r="Q72" s="11">
        <f>COUNTA(T72:CA72)</f>
        <v>7</v>
      </c>
      <c r="R72" s="3">
        <f>K72-Q72</f>
        <v>1</v>
      </c>
      <c r="S72" s="8" t="str">
        <f>IF(Q72&gt;=K72,"Complete","Incomplete")</f>
        <v>Incomplete</v>
      </c>
      <c r="T72" s="14">
        <v>46147</v>
      </c>
      <c r="U72" s="14">
        <v>46149</v>
      </c>
      <c r="V72" s="14">
        <v>46154</v>
      </c>
      <c r="W72" s="14">
        <v>46156</v>
      </c>
      <c r="X72" s="14">
        <v>46161</v>
      </c>
      <c r="Y72" s="14">
        <v>46163</v>
      </c>
      <c r="Z72" s="14">
        <v>46171</v>
      </c>
      <c r="CI72" s="4" t="str">
        <f t="shared" si="2"/>
        <v>1</v>
      </c>
      <c r="CJ72" s="13">
        <f>IF(OR(P72="",CI72=""),"",P72/CI72)</f>
        <v>2600</v>
      </c>
      <c r="CK72" s="5">
        <f t="shared" ca="1" si="3"/>
        <v>46173</v>
      </c>
      <c r="CL72" s="13">
        <f ca="1">IF(OR(I72="",J72="",CJ72="",CK72=""),"",
IF(AND(J72&gt;=EOMONTH(CK72,-1)+1,I72&lt;=EOMONTH(CK72,0)),
CJ72*
(MAX(0,MIN(J72,EOMONTH(CK72,0)) - MAX(I72,EOMONTH(CK72,-1)+1) + 1)
/
DAY(EOMONTH(CK72,0))
),
0))</f>
        <v>2264.516129032258</v>
      </c>
    </row>
    <row r="73" spans="1:90" x14ac:dyDescent="0.2">
      <c r="A73" s="58">
        <v>91</v>
      </c>
      <c r="B73" s="58" t="s">
        <v>215</v>
      </c>
      <c r="C73" s="6">
        <v>42035</v>
      </c>
      <c r="D73" s="3">
        <f ca="1">DATEDIF(C73,TODAY(),"Y") + DATEDIF(C73,TODAY(),"YM")/10</f>
        <v>11.4</v>
      </c>
      <c r="E73" s="58" t="s">
        <v>216</v>
      </c>
      <c r="F73" s="3">
        <v>9767883925</v>
      </c>
      <c r="G73" s="7">
        <v>46072</v>
      </c>
      <c r="H73" s="7" t="str">
        <f ca="1">DATEDIF(G73,TODAY(),"M") &amp; " Months"</f>
        <v>3 Months</v>
      </c>
      <c r="I73" s="4">
        <v>46072</v>
      </c>
      <c r="J73" s="4">
        <f>EDATE(I73,1)</f>
        <v>46100</v>
      </c>
      <c r="K73" s="8">
        <v>12</v>
      </c>
      <c r="L73" s="8">
        <v>36</v>
      </c>
      <c r="M73" s="3">
        <f>I73+L73</f>
        <v>46108</v>
      </c>
      <c r="N73" s="9">
        <f ca="1">L73-(TODAY()-I73)</f>
        <v>-65</v>
      </c>
      <c r="O73" s="8" t="str">
        <f ca="1">IF(J73="","",
IF(TODAY()&lt;=J73,"Active",
IF(N73&gt;0,"Grace",
IF(N73&gt;-30,"Inactive","Freeze"))))</f>
        <v>Freeze</v>
      </c>
      <c r="P73" s="10">
        <v>3200</v>
      </c>
      <c r="Q73" s="11">
        <f>COUNTA(T73:CA73)</f>
        <v>10</v>
      </c>
      <c r="R73" s="3">
        <f>K73-Q73</f>
        <v>2</v>
      </c>
      <c r="S73" s="8" t="str">
        <f>IF(Q73&gt;=K73,"Complete","Incomplete")</f>
        <v>Incomplete</v>
      </c>
      <c r="T73" s="14">
        <v>46072</v>
      </c>
      <c r="U73" s="14">
        <v>46081</v>
      </c>
      <c r="V73" s="3" t="s">
        <v>217</v>
      </c>
      <c r="W73" s="3" t="s">
        <v>217</v>
      </c>
      <c r="X73" s="3" t="s">
        <v>217</v>
      </c>
      <c r="Y73" s="3" t="s">
        <v>217</v>
      </c>
      <c r="Z73" s="3" t="s">
        <v>217</v>
      </c>
      <c r="AA73" s="14" t="s">
        <v>217</v>
      </c>
      <c r="AB73" s="14">
        <v>46109</v>
      </c>
      <c r="AC73" s="14">
        <v>46112</v>
      </c>
      <c r="AD73" s="14"/>
      <c r="CI73" s="4" t="str">
        <f t="shared" si="2"/>
        <v>1</v>
      </c>
      <c r="CJ73" s="13">
        <f>IF(OR(P73="",CI73=""),"",P73/CI73)</f>
        <v>3200</v>
      </c>
      <c r="CK73" s="5">
        <f t="shared" ca="1" si="3"/>
        <v>46173</v>
      </c>
      <c r="CL73" s="13">
        <f ca="1">IF(OR(I73="",J73="",CJ73="",CK73=""),"",
IF(AND(J73&gt;=EOMONTH(CK73,-1)+1,I73&lt;=EOMONTH(CK73,0)),
CJ73*
(MAX(0,MIN(J73,EOMONTH(CK73,0)) - MAX(I73,EOMONTH(CK73,-1)+1) + 1)
/
DAY(EOMONTH(CK73,0))
),
0))</f>
        <v>0</v>
      </c>
    </row>
    <row r="74" spans="1:90" x14ac:dyDescent="0.2">
      <c r="A74" s="58">
        <v>92</v>
      </c>
      <c r="B74" s="58" t="s">
        <v>218</v>
      </c>
      <c r="C74" s="6">
        <v>42101</v>
      </c>
      <c r="D74" s="3">
        <f ca="1">DATEDIF(C74,TODAY(),"Y") + DATEDIF(C74,TODAY(),"YM")/10</f>
        <v>11.1</v>
      </c>
      <c r="E74" s="58" t="s">
        <v>219</v>
      </c>
      <c r="F74" s="3">
        <v>9579383049</v>
      </c>
      <c r="G74" s="7">
        <v>46068</v>
      </c>
      <c r="H74" s="7" t="str">
        <f ca="1">DATEDIF(G74,TODAY(),"M") &amp; " Months"</f>
        <v>3 Months</v>
      </c>
      <c r="I74" s="4">
        <v>46160</v>
      </c>
      <c r="J74" s="4">
        <f>EDATE(I74,3)</f>
        <v>46252</v>
      </c>
      <c r="K74" s="8">
        <v>42</v>
      </c>
      <c r="L74" s="8">
        <v>113</v>
      </c>
      <c r="M74" s="3">
        <f>I74+L74</f>
        <v>46273</v>
      </c>
      <c r="N74" s="9">
        <f ca="1">L74-(TODAY()-I74)</f>
        <v>100</v>
      </c>
      <c r="O74" s="8" t="str">
        <f ca="1">IF(J74="","",
IF(TODAY()&lt;=J74,"Active",
IF(N74&gt;0,"Grace",
IF(N74&gt;-30,"Inactive","Freeze"))))</f>
        <v>Active</v>
      </c>
      <c r="P74" s="10">
        <v>10100</v>
      </c>
      <c r="Q74" s="11">
        <f>COUNTA(T74:CA74)</f>
        <v>6</v>
      </c>
      <c r="R74" s="3">
        <f>K74-Q74</f>
        <v>36</v>
      </c>
      <c r="S74" s="8" t="str">
        <f>IF(Q74&gt;=K74,"Complete","Incomplete")</f>
        <v>Incomplete</v>
      </c>
      <c r="T74" s="14">
        <v>46160</v>
      </c>
      <c r="U74" s="14">
        <v>46164</v>
      </c>
      <c r="V74" s="14">
        <v>46165</v>
      </c>
      <c r="W74" s="14">
        <v>46167</v>
      </c>
      <c r="X74" s="14">
        <v>46169</v>
      </c>
      <c r="Y74" s="14">
        <v>46171</v>
      </c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CI74" s="4" t="str">
        <f t="shared" si="2"/>
        <v>3</v>
      </c>
      <c r="CJ74" s="13">
        <f>IF(OR(P74="",CI74=""),"",P74/CI74)</f>
        <v>3366.6666666666665</v>
      </c>
      <c r="CK74" s="5">
        <f t="shared" ca="1" si="3"/>
        <v>46173</v>
      </c>
      <c r="CL74" s="13">
        <f ca="1">IF(OR(I74="",J74="",CJ74="",CK74=""),"",
IF(AND(J74&gt;=EOMONTH(CK74,-1)+1,I74&lt;=EOMONTH(CK74,0)),
CJ74*
(MAX(0,MIN(J74,EOMONTH(CK74,0)) - MAX(I74,EOMONTH(CK74,-1)+1) + 1)
/
DAY(EOMONTH(CK74,0))
),
0))</f>
        <v>1520.4301075268816</v>
      </c>
    </row>
    <row r="75" spans="1:90" x14ac:dyDescent="0.2">
      <c r="A75" s="58">
        <v>93</v>
      </c>
      <c r="B75" s="58" t="s">
        <v>220</v>
      </c>
      <c r="C75" s="6">
        <v>44154</v>
      </c>
      <c r="D75" s="3">
        <f ca="1">DATEDIF(C75,TODAY(),"Y") + DATEDIF(C75,TODAY(),"YM")/10</f>
        <v>5.6</v>
      </c>
      <c r="E75" s="58" t="s">
        <v>221</v>
      </c>
      <c r="F75" s="3">
        <v>7776006699</v>
      </c>
      <c r="G75" s="7">
        <v>46073</v>
      </c>
      <c r="H75" s="7" t="str">
        <f ca="1">DATEDIF(G75,TODAY(),"M") &amp; " Months"</f>
        <v>3 Months</v>
      </c>
      <c r="I75" s="4">
        <v>46127</v>
      </c>
      <c r="J75" s="4">
        <f>EDATE(I75,3)</f>
        <v>46218</v>
      </c>
      <c r="K75" s="8">
        <v>36</v>
      </c>
      <c r="L75" s="8">
        <v>108</v>
      </c>
      <c r="M75" s="3">
        <f>I75+L75</f>
        <v>46235</v>
      </c>
      <c r="N75" s="9">
        <f ca="1">L75-(TODAY()-I75)</f>
        <v>62</v>
      </c>
      <c r="O75" s="8" t="str">
        <f ca="1">IF(J75="","",
IF(TODAY()&lt;=J75,"Active",
IF(N75&gt;0,"Grace",
IF(N75&gt;-30,"Inactive","Freeze"))))</f>
        <v>Active</v>
      </c>
      <c r="P75" s="10">
        <v>8000</v>
      </c>
      <c r="Q75" s="11">
        <f>COUNTA(T75:CA75)</f>
        <v>16</v>
      </c>
      <c r="R75" s="3">
        <f>K75-Q75</f>
        <v>20</v>
      </c>
      <c r="S75" s="8" t="str">
        <f>IF(Q75&gt;=K75,"Complete","Incomplete")</f>
        <v>Incomplete</v>
      </c>
      <c r="T75" s="14">
        <v>46121</v>
      </c>
      <c r="U75" s="14">
        <v>46122</v>
      </c>
      <c r="V75" s="14">
        <v>46127</v>
      </c>
      <c r="W75" s="14">
        <v>46129</v>
      </c>
      <c r="X75" s="14">
        <v>46132</v>
      </c>
      <c r="Y75" s="14">
        <v>46134</v>
      </c>
      <c r="Z75" s="14">
        <v>46139</v>
      </c>
      <c r="AA75" s="14">
        <v>46141</v>
      </c>
      <c r="AB75" s="14">
        <v>46146</v>
      </c>
      <c r="AC75" s="14">
        <v>46148</v>
      </c>
      <c r="AD75" s="14">
        <v>46154</v>
      </c>
      <c r="AE75" s="14">
        <v>46155</v>
      </c>
      <c r="AF75" s="14">
        <v>46157</v>
      </c>
      <c r="AG75" s="14">
        <v>46160</v>
      </c>
      <c r="AH75" s="14">
        <v>46163</v>
      </c>
      <c r="AI75" s="14">
        <v>46170</v>
      </c>
      <c r="AK75" s="14"/>
      <c r="AL75" s="14"/>
      <c r="AM75" s="14"/>
      <c r="AN75" s="14"/>
      <c r="CI75" s="4" t="str">
        <f t="shared" si="2"/>
        <v>3</v>
      </c>
      <c r="CJ75" s="13">
        <f>IF(OR(P75="",CI75=""),"",P75/CI75)</f>
        <v>2666.6666666666665</v>
      </c>
      <c r="CK75" s="5">
        <f t="shared" ca="1" si="3"/>
        <v>46173</v>
      </c>
      <c r="CL75" s="13">
        <f ca="1">IF(OR(I75="",J75="",CJ75="",CK75=""),"",
IF(AND(J75&gt;=EOMONTH(CK75,-1)+1,I75&lt;=EOMONTH(CK75,0)),
CJ75*
(MAX(0,MIN(J75,EOMONTH(CK75,0)) - MAX(I75,EOMONTH(CK75,-1)+1) + 1)
/
DAY(EOMONTH(CK75,0))
),
0))</f>
        <v>2666.6666666666665</v>
      </c>
    </row>
    <row r="76" spans="1:90" x14ac:dyDescent="0.2">
      <c r="A76" s="58">
        <v>94</v>
      </c>
      <c r="B76" s="58" t="s">
        <v>222</v>
      </c>
      <c r="C76" s="6">
        <v>44154</v>
      </c>
      <c r="D76" s="3">
        <f ca="1">DATEDIF(C76,TODAY(),"Y") + DATEDIF(C76,TODAY(),"YM")/10</f>
        <v>5.6</v>
      </c>
      <c r="E76" s="58" t="s">
        <v>221</v>
      </c>
      <c r="F76" s="3">
        <v>9823117774</v>
      </c>
      <c r="G76" s="7">
        <v>46073</v>
      </c>
      <c r="H76" s="7" t="str">
        <f ca="1">DATEDIF(G76,TODAY(),"M") &amp; " Months"</f>
        <v>3 Months</v>
      </c>
      <c r="I76" s="4">
        <v>46127</v>
      </c>
      <c r="J76" s="4">
        <f>EDATE(I76,3)</f>
        <v>46218</v>
      </c>
      <c r="K76" s="8">
        <v>36</v>
      </c>
      <c r="L76" s="8">
        <v>108</v>
      </c>
      <c r="M76" s="3">
        <f>I76+L76</f>
        <v>46235</v>
      </c>
      <c r="N76" s="9">
        <f ca="1">L76-(TODAY()-I76)</f>
        <v>62</v>
      </c>
      <c r="O76" s="8" t="str">
        <f ca="1">IF(J76="","",
IF(TODAY()&lt;=J76,"Active",
IF(N76&gt;0,"Grace",
IF(N76&gt;-30,"Inactive","Freeze"))))</f>
        <v>Active</v>
      </c>
      <c r="P76" s="10">
        <v>8000</v>
      </c>
      <c r="Q76" s="11">
        <f>COUNTA(T76:CA76)</f>
        <v>16</v>
      </c>
      <c r="R76" s="3">
        <f>K76-Q76</f>
        <v>20</v>
      </c>
      <c r="S76" s="8" t="str">
        <f>IF(Q76&gt;=K76,"Complete","Incomplete")</f>
        <v>Incomplete</v>
      </c>
      <c r="T76" s="14">
        <v>46121</v>
      </c>
      <c r="U76" s="14">
        <v>46122</v>
      </c>
      <c r="V76" s="14">
        <v>46127</v>
      </c>
      <c r="W76" s="14">
        <v>46129</v>
      </c>
      <c r="X76" s="14">
        <v>46132</v>
      </c>
      <c r="Y76" s="14">
        <v>46134</v>
      </c>
      <c r="Z76" s="14">
        <v>46139</v>
      </c>
      <c r="AA76" s="14">
        <v>46141</v>
      </c>
      <c r="AB76" s="14">
        <v>46146</v>
      </c>
      <c r="AC76" s="14">
        <v>46148</v>
      </c>
      <c r="AD76" s="14">
        <v>46154</v>
      </c>
      <c r="AE76" s="14">
        <v>46155</v>
      </c>
      <c r="AF76" s="14">
        <v>46157</v>
      </c>
      <c r="AG76" s="14">
        <v>46160</v>
      </c>
      <c r="AH76" s="14">
        <v>46163</v>
      </c>
      <c r="AI76" s="14">
        <v>46170</v>
      </c>
      <c r="AJ76" s="14"/>
      <c r="AK76" s="14"/>
      <c r="AL76" s="14"/>
      <c r="CE76" s="14"/>
      <c r="CI76" s="4" t="str">
        <f t="shared" si="2"/>
        <v>3</v>
      </c>
      <c r="CJ76" s="13">
        <f>IF(OR(P76="",CI76=""),"",P76/CI76)</f>
        <v>2666.6666666666665</v>
      </c>
      <c r="CK76" s="5">
        <f t="shared" ca="1" si="3"/>
        <v>46173</v>
      </c>
      <c r="CL76" s="13">
        <f ca="1">IF(OR(I76="",J76="",CJ76="",CK76=""),"",
IF(AND(J76&gt;=EOMONTH(CK76,-1)+1,I76&lt;=EOMONTH(CK76,0)),
CJ76*
(MAX(0,MIN(J76,EOMONTH(CK76,0)) - MAX(I76,EOMONTH(CK76,-1)+1) + 1)
/
DAY(EOMONTH(CK76,0))
),
0))</f>
        <v>2666.6666666666665</v>
      </c>
    </row>
    <row r="77" spans="1:90" x14ac:dyDescent="0.2">
      <c r="A77" s="58">
        <v>95</v>
      </c>
      <c r="B77" s="58" t="s">
        <v>223</v>
      </c>
      <c r="C77" s="6">
        <v>44154</v>
      </c>
      <c r="D77" s="3">
        <f ca="1">DATEDIF(C77,TODAY(),"Y") + DATEDIF(C77,TODAY(),"YM")/10</f>
        <v>5.6</v>
      </c>
      <c r="E77" s="58" t="s">
        <v>221</v>
      </c>
      <c r="F77" s="3">
        <v>7776006699</v>
      </c>
      <c r="G77" s="7">
        <v>46073</v>
      </c>
      <c r="H77" s="7" t="str">
        <f ca="1">DATEDIF(G77,TODAY(),"M") &amp; " Months"</f>
        <v>3 Months</v>
      </c>
      <c r="I77" s="4">
        <v>46127</v>
      </c>
      <c r="J77" s="4">
        <f>EDATE(I77,3)</f>
        <v>46218</v>
      </c>
      <c r="K77" s="8">
        <v>36</v>
      </c>
      <c r="L77" s="8">
        <v>108</v>
      </c>
      <c r="M77" s="3">
        <f>I77+L77</f>
        <v>46235</v>
      </c>
      <c r="N77" s="9">
        <f ca="1">L77-(TODAY()-I77)</f>
        <v>62</v>
      </c>
      <c r="O77" s="8" t="str">
        <f ca="1">IF(J77="","",
IF(TODAY()&lt;=J77,"Active",
IF(N77&gt;0,"Grace",
IF(N77&gt;-30,"Inactive","Freeze"))))</f>
        <v>Active</v>
      </c>
      <c r="P77" s="10">
        <v>8000</v>
      </c>
      <c r="Q77" s="11">
        <f>COUNTA(T77:CA77)</f>
        <v>16</v>
      </c>
      <c r="R77" s="3">
        <f>K77-Q77</f>
        <v>20</v>
      </c>
      <c r="S77" s="8" t="str">
        <f>IF(Q77&gt;=K77,"Complete","Incomplete")</f>
        <v>Incomplete</v>
      </c>
      <c r="T77" s="14">
        <v>46121</v>
      </c>
      <c r="U77" s="14">
        <v>46122</v>
      </c>
      <c r="V77" s="14">
        <v>46127</v>
      </c>
      <c r="W77" s="14">
        <v>46129</v>
      </c>
      <c r="X77" s="14">
        <v>46132</v>
      </c>
      <c r="Y77" s="14">
        <v>46134</v>
      </c>
      <c r="Z77" s="14">
        <v>46139</v>
      </c>
      <c r="AA77" s="14">
        <v>46141</v>
      </c>
      <c r="AB77" s="14">
        <v>46146</v>
      </c>
      <c r="AC77" s="14">
        <v>46148</v>
      </c>
      <c r="AD77" s="14">
        <v>46154</v>
      </c>
      <c r="AE77" s="14">
        <v>46155</v>
      </c>
      <c r="AF77" s="14">
        <v>46157</v>
      </c>
      <c r="AG77" s="14">
        <v>46160</v>
      </c>
      <c r="AH77" s="14">
        <v>46163</v>
      </c>
      <c r="AI77" s="14">
        <v>46170</v>
      </c>
      <c r="AJ77" s="14"/>
      <c r="AK77" s="14"/>
      <c r="AL77" s="14"/>
      <c r="AM77" s="14"/>
      <c r="AN77" s="14"/>
      <c r="CI77" s="4" t="str">
        <f t="shared" si="2"/>
        <v>3</v>
      </c>
      <c r="CJ77" s="13">
        <f>IF(OR(P77="",CI77=""),"",P77/CI77)</f>
        <v>2666.6666666666665</v>
      </c>
      <c r="CK77" s="5">
        <f t="shared" ca="1" si="3"/>
        <v>46173</v>
      </c>
      <c r="CL77" s="13">
        <f ca="1">IF(OR(I77="",J77="",CJ77="",CK77=""),"",
IF(AND(J77&gt;=EOMONTH(CK77,-1)+1,I77&lt;=EOMONTH(CK77,0)),
CJ77*
(MAX(0,MIN(J77,EOMONTH(CK77,0)) - MAX(I77,EOMONTH(CK77,-1)+1) + 1)
/
DAY(EOMONTH(CK77,0))
),
0))</f>
        <v>2666.6666666666665</v>
      </c>
    </row>
    <row r="78" spans="1:90" x14ac:dyDescent="0.2">
      <c r="A78" s="58">
        <v>96</v>
      </c>
      <c r="B78" s="58" t="s">
        <v>224</v>
      </c>
      <c r="C78" s="6">
        <v>44484</v>
      </c>
      <c r="D78" s="3">
        <f ca="1">DATEDIF(C78,TODAY(),"Y") + DATEDIF(C78,TODAY(),"YM")/10</f>
        <v>4.7</v>
      </c>
      <c r="E78" s="58" t="s">
        <v>225</v>
      </c>
      <c r="F78" s="3">
        <v>9422029664</v>
      </c>
      <c r="G78" s="7">
        <v>46076</v>
      </c>
      <c r="H78" s="7" t="str">
        <f ca="1">DATEDIF(G78,TODAY(),"M") &amp; " Months"</f>
        <v>3 Months</v>
      </c>
      <c r="I78" s="4">
        <v>46120</v>
      </c>
      <c r="J78" s="4">
        <f>EDATE(I78,1)</f>
        <v>46150</v>
      </c>
      <c r="K78" s="8">
        <v>20</v>
      </c>
      <c r="L78" s="8">
        <v>38</v>
      </c>
      <c r="M78" s="3">
        <f>I78+L78</f>
        <v>46158</v>
      </c>
      <c r="N78" s="9">
        <f ca="1">L78-(TODAY()-I78)</f>
        <v>-15</v>
      </c>
      <c r="O78" s="8" t="str">
        <f ca="1">IF(J78="","",
IF(TODAY()&lt;=J78,"Active",
IF(N78&gt;0,"Grace",
IF(N78&gt;-30,"Inactive","Freeze"))))</f>
        <v>Inactive</v>
      </c>
      <c r="P78" s="10">
        <v>4400</v>
      </c>
      <c r="Q78" s="11">
        <f>COUNTA(T78:CA78)</f>
        <v>21</v>
      </c>
      <c r="R78" s="3">
        <f>K78-Q78</f>
        <v>-1</v>
      </c>
      <c r="S78" s="8" t="str">
        <f>IF(Q78&gt;=K78,"Complete","Incomplete")</f>
        <v>Complete</v>
      </c>
      <c r="T78" s="14">
        <v>46120</v>
      </c>
      <c r="U78" s="14">
        <v>46121</v>
      </c>
      <c r="V78" s="14">
        <v>46127</v>
      </c>
      <c r="W78" s="14">
        <v>46128</v>
      </c>
      <c r="X78" s="14">
        <v>46129</v>
      </c>
      <c r="Y78" s="14">
        <v>46132</v>
      </c>
      <c r="Z78" s="14">
        <v>46133</v>
      </c>
      <c r="AA78" s="14">
        <v>46134</v>
      </c>
      <c r="AB78" s="14">
        <v>46139</v>
      </c>
      <c r="AC78" s="14">
        <v>46140</v>
      </c>
      <c r="AD78" s="14">
        <v>46141</v>
      </c>
      <c r="AE78" s="14">
        <v>46146</v>
      </c>
      <c r="AF78" s="14">
        <v>46147</v>
      </c>
      <c r="AG78" s="14">
        <v>46148</v>
      </c>
      <c r="AH78" s="14">
        <v>46149</v>
      </c>
      <c r="AI78" s="14">
        <v>46154</v>
      </c>
      <c r="AJ78" s="14">
        <v>46155</v>
      </c>
      <c r="AK78" s="14">
        <v>46156</v>
      </c>
      <c r="AL78" s="14">
        <v>46160</v>
      </c>
      <c r="AM78" s="14">
        <v>46161</v>
      </c>
      <c r="AN78" s="14">
        <v>46168</v>
      </c>
      <c r="CI78" s="4" t="str">
        <f t="shared" si="2"/>
        <v>1</v>
      </c>
      <c r="CJ78" s="13">
        <f>IF(OR(P78="",CI78=""),"",P78/CI78)</f>
        <v>4400</v>
      </c>
      <c r="CK78" s="5">
        <f t="shared" ca="1" si="3"/>
        <v>46173</v>
      </c>
      <c r="CL78" s="13">
        <f ca="1">IF(OR(I78="",J78="",CJ78="",CK78=""),"",
IF(AND(J78&gt;=EOMONTH(CK78,-1)+1,I78&lt;=EOMONTH(CK78,0)),
CJ78*
(MAX(0,MIN(J78,EOMONTH(CK78,0)) - MAX(I78,EOMONTH(CK78,-1)+1) + 1)
/
DAY(EOMONTH(CK78,0))
),
0))</f>
        <v>1135.483870967742</v>
      </c>
    </row>
    <row r="79" spans="1:90" x14ac:dyDescent="0.2">
      <c r="A79" s="58">
        <v>97</v>
      </c>
      <c r="B79" s="58" t="s">
        <v>226</v>
      </c>
      <c r="C79" s="6">
        <v>44062</v>
      </c>
      <c r="D79" s="3">
        <f ca="1">DATEDIF(C79,TODAY(),"Y") + DATEDIF(C79,TODAY(),"YM")/10</f>
        <v>5.9</v>
      </c>
      <c r="E79" s="58" t="s">
        <v>227</v>
      </c>
      <c r="F79" s="3">
        <v>9175501111</v>
      </c>
      <c r="G79" s="7">
        <v>46070</v>
      </c>
      <c r="H79" s="7" t="str">
        <f ca="1">DATEDIF(G79,TODAY(),"M") &amp; " Months"</f>
        <v>3 Months</v>
      </c>
      <c r="I79" s="4">
        <v>46113</v>
      </c>
      <c r="J79" s="4">
        <f>EDATE(I79,1)</f>
        <v>46143</v>
      </c>
      <c r="K79" s="8">
        <v>12</v>
      </c>
      <c r="L79" s="8">
        <v>36</v>
      </c>
      <c r="M79" s="3">
        <f>I79+L79</f>
        <v>46149</v>
      </c>
      <c r="N79" s="9">
        <f ca="1">L79-(TODAY()-I79)</f>
        <v>-24</v>
      </c>
      <c r="O79" s="8" t="str">
        <f ca="1">IF(J79="","",
IF(TODAY()&lt;=J79,"Active",
IF(N79&gt;0,"Grace",
IF(N79&gt;-30,"Inactive","Freeze"))))</f>
        <v>Inactive</v>
      </c>
      <c r="P79" s="10">
        <v>3200</v>
      </c>
      <c r="Q79" s="11">
        <f>COUNTA(T79:CA79)</f>
        <v>7</v>
      </c>
      <c r="R79" s="3">
        <f>K79-Q79</f>
        <v>5</v>
      </c>
      <c r="S79" s="8" t="str">
        <f>IF(Q79&gt;=K79,"Complete","Incomplete")</f>
        <v>Incomplete</v>
      </c>
      <c r="T79" s="14" t="s">
        <v>98</v>
      </c>
      <c r="U79" s="3" t="s">
        <v>98</v>
      </c>
      <c r="V79" s="3" t="s">
        <v>98</v>
      </c>
      <c r="W79" s="14">
        <v>46118</v>
      </c>
      <c r="X79" s="14">
        <v>46122</v>
      </c>
      <c r="Y79" s="14">
        <v>46125</v>
      </c>
      <c r="Z79" s="14">
        <v>46171</v>
      </c>
      <c r="AD79" s="14"/>
      <c r="AN79" s="14"/>
      <c r="AO79" s="14"/>
      <c r="AP79" s="14"/>
      <c r="CI79" s="4" t="str">
        <f t="shared" si="2"/>
        <v>1</v>
      </c>
      <c r="CJ79" s="13">
        <f>IF(OR(P79="",CI79=""),"",P79/CI79)</f>
        <v>3200</v>
      </c>
      <c r="CK79" s="5">
        <f t="shared" ca="1" si="3"/>
        <v>46173</v>
      </c>
      <c r="CL79" s="13">
        <f ca="1">IF(OR(I79="",J79="",CJ79="",CK79=""),"",
IF(AND(J79&gt;=EOMONTH(CK79,-1)+1,I79&lt;=EOMONTH(CK79,0)),
CJ79*
(MAX(0,MIN(J79,EOMONTH(CK79,0)) - MAX(I79,EOMONTH(CK79,-1)+1) + 1)
/
DAY(EOMONTH(CK79,0))
),
0))</f>
        <v>103.2258064516129</v>
      </c>
    </row>
    <row r="80" spans="1:90" x14ac:dyDescent="0.2">
      <c r="A80" s="58">
        <v>98</v>
      </c>
      <c r="B80" s="58" t="s">
        <v>228</v>
      </c>
      <c r="C80" s="6">
        <v>44508</v>
      </c>
      <c r="D80" s="3">
        <f ca="1">DATEDIF(C80,TODAY(),"Y") + DATEDIF(C80,TODAY(),"YM")/10</f>
        <v>4.5999999999999996</v>
      </c>
      <c r="E80" s="58" t="s">
        <v>229</v>
      </c>
      <c r="F80" s="3">
        <v>9004920658</v>
      </c>
      <c r="G80" s="7">
        <v>46067</v>
      </c>
      <c r="H80" s="7" t="str">
        <f ca="1">DATEDIF(G80,TODAY(),"M") &amp; " Months"</f>
        <v>3 Months</v>
      </c>
      <c r="I80" s="4">
        <v>46067</v>
      </c>
      <c r="J80" s="4">
        <f>EDATE(I80,1)</f>
        <v>46095</v>
      </c>
      <c r="K80" s="8">
        <v>12</v>
      </c>
      <c r="L80" s="8">
        <v>36</v>
      </c>
      <c r="M80" s="3">
        <f>I80+L80</f>
        <v>46103</v>
      </c>
      <c r="N80" s="9">
        <f ca="1">L80-(TODAY()-I80)</f>
        <v>-70</v>
      </c>
      <c r="O80" s="8" t="str">
        <f ca="1">IF(J80="","",
IF(TODAY()&lt;=J80,"Active",
IF(N80&gt;0,"Grace",
IF(N80&gt;-30,"Inactive","Freeze"))))</f>
        <v>Freeze</v>
      </c>
      <c r="P80" s="10"/>
      <c r="Q80" s="11">
        <f>COUNTA(T80:CA80)</f>
        <v>12</v>
      </c>
      <c r="R80" s="3">
        <f>K80-Q80</f>
        <v>0</v>
      </c>
      <c r="S80" s="8" t="str">
        <f>IF(Q80&gt;=K80,"Complete","Incomplete")</f>
        <v>Complete</v>
      </c>
      <c r="T80" s="14">
        <v>46071</v>
      </c>
      <c r="U80" s="3" t="s">
        <v>98</v>
      </c>
      <c r="V80" s="3" t="s">
        <v>98</v>
      </c>
      <c r="W80" s="3" t="s">
        <v>98</v>
      </c>
      <c r="X80" s="3" t="s">
        <v>98</v>
      </c>
      <c r="Y80" s="3" t="s">
        <v>98</v>
      </c>
      <c r="Z80" s="3" t="s">
        <v>98</v>
      </c>
      <c r="AA80" s="3" t="s">
        <v>98</v>
      </c>
      <c r="AB80" s="3" t="s">
        <v>98</v>
      </c>
      <c r="AC80" s="3" t="s">
        <v>98</v>
      </c>
      <c r="AD80" s="3" t="s">
        <v>98</v>
      </c>
      <c r="AE80" s="14">
        <v>46099</v>
      </c>
      <c r="CI80" s="4" t="str">
        <f t="shared" si="2"/>
        <v>1</v>
      </c>
      <c r="CJ80" s="13" t="str">
        <f>IF(OR(P80="",CI80=""),"",P80/CI80)</f>
        <v/>
      </c>
      <c r="CK80" s="5">
        <f t="shared" ca="1" si="3"/>
        <v>46173</v>
      </c>
      <c r="CL80" s="13" t="str">
        <f ca="1">IF(OR(I80="",J80="",CJ80="",CK80=""),"",
IF(AND(J80&gt;=EOMONTH(CK80,-1)+1,I80&lt;=EOMONTH(CK80,0)),
CJ80*
(MAX(0,MIN(J80,EOMONTH(CK80,0)) - MAX(I80,EOMONTH(CK80,-1)+1) + 1)
/
DAY(EOMONTH(CK80,0))
),
0))</f>
        <v/>
      </c>
    </row>
    <row r="81" spans="1:90" x14ac:dyDescent="0.2">
      <c r="A81" s="58">
        <v>99</v>
      </c>
      <c r="B81" s="58" t="s">
        <v>230</v>
      </c>
      <c r="C81" s="6" t="s">
        <v>231</v>
      </c>
      <c r="D81" s="3">
        <f ca="1">DATEDIF(C81,TODAY(),"Y") + DATEDIF(C81,TODAY(),"YM")/10</f>
        <v>3.6</v>
      </c>
      <c r="E81" s="58" t="s">
        <v>232</v>
      </c>
      <c r="F81" s="3">
        <v>9881184499</v>
      </c>
      <c r="G81" s="7">
        <v>46070</v>
      </c>
      <c r="H81" s="7" t="str">
        <f ca="1">DATEDIF(G81,TODAY(),"M") &amp; " Months"</f>
        <v>3 Months</v>
      </c>
      <c r="I81" s="4">
        <v>46153</v>
      </c>
      <c r="J81" s="4">
        <f>EDATE(I81,3)</f>
        <v>46245</v>
      </c>
      <c r="K81" s="8">
        <v>36</v>
      </c>
      <c r="L81" s="8">
        <v>108</v>
      </c>
      <c r="M81" s="3">
        <f>I81+L81</f>
        <v>46261</v>
      </c>
      <c r="N81" s="9">
        <f ca="1">L81-(TODAY()-I81)</f>
        <v>88</v>
      </c>
      <c r="O81" s="8" t="str">
        <f ca="1">IF(J81="","",
IF(TODAY()&lt;=J81,"Active",
IF(N81&gt;0,"Grace",
IF(N81&gt;-30,"Inactive","Freeze"))))</f>
        <v>Active</v>
      </c>
      <c r="P81" s="10">
        <v>8640</v>
      </c>
      <c r="Q81" s="11">
        <f>COUNTA(T81:CA81)</f>
        <v>0</v>
      </c>
      <c r="R81" s="3">
        <f>K81-Q81</f>
        <v>36</v>
      </c>
      <c r="S81" s="8" t="str">
        <f>IF(Q81&gt;=K81,"Complete","Incomplete")</f>
        <v>Incomplete</v>
      </c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CI81" s="4" t="str">
        <f t="shared" si="2"/>
        <v>3</v>
      </c>
      <c r="CJ81" s="13">
        <f>IF(OR(P81="",CI81=""),"",P81/CI81)</f>
        <v>2880</v>
      </c>
      <c r="CK81" s="5">
        <f t="shared" ca="1" si="3"/>
        <v>46173</v>
      </c>
      <c r="CL81" s="13">
        <f ca="1">IF(OR(I81="",J81="",CJ81="",CK81=""),"",
IF(AND(J81&gt;=EOMONTH(CK81,-1)+1,I81&lt;=EOMONTH(CK81,0)),
CJ81*
(MAX(0,MIN(J81,EOMONTH(CK81,0)) - MAX(I81,EOMONTH(CK81,-1)+1) + 1)
/
DAY(EOMONTH(CK81,0))
),
0))</f>
        <v>1950.9677419354837</v>
      </c>
    </row>
    <row r="82" spans="1:90" x14ac:dyDescent="0.2">
      <c r="A82" s="58">
        <v>100</v>
      </c>
      <c r="B82" s="58" t="s">
        <v>233</v>
      </c>
      <c r="C82" s="6">
        <v>40356</v>
      </c>
      <c r="D82" s="3">
        <f ca="1">DATEDIF(C82,TODAY(),"Y") + DATEDIF(C82,TODAY(),"YM")/10</f>
        <v>16.100000000000001</v>
      </c>
      <c r="E82" s="58" t="s">
        <v>234</v>
      </c>
      <c r="F82" s="3">
        <v>9765688884</v>
      </c>
      <c r="G82" s="7">
        <v>46082</v>
      </c>
      <c r="H82" s="7" t="str">
        <f ca="1">DATEDIF(G82,TODAY(),"M") &amp; " Months"</f>
        <v>2 Months</v>
      </c>
      <c r="I82" s="4">
        <v>46109</v>
      </c>
      <c r="J82" s="4">
        <f>EDATE(I82,1)</f>
        <v>46140</v>
      </c>
      <c r="K82" s="8">
        <v>9</v>
      </c>
      <c r="L82" s="8">
        <v>34</v>
      </c>
      <c r="M82" s="3">
        <f>I82+L82</f>
        <v>46143</v>
      </c>
      <c r="N82" s="9">
        <f ca="1">L82-(TODAY()-I82)</f>
        <v>-30</v>
      </c>
      <c r="O82" s="8" t="str">
        <f ca="1">IF(J82="","",
IF(TODAY()&lt;=J82,"Active",
IF(N82&gt;0,"Grace",
IF(N82&gt;-30,"Inactive","Freeze"))))</f>
        <v>Freeze</v>
      </c>
      <c r="P82" s="10">
        <v>2600</v>
      </c>
      <c r="Q82" s="11">
        <f>COUNTA(T82:CA82)</f>
        <v>11</v>
      </c>
      <c r="R82" s="3">
        <f>K82-Q82</f>
        <v>-2</v>
      </c>
      <c r="S82" s="8" t="str">
        <f>IF(Q82&gt;=K82,"Complete","Incomplete")</f>
        <v>Complete</v>
      </c>
      <c r="T82" s="17">
        <v>46109</v>
      </c>
      <c r="U82" s="14">
        <v>46110</v>
      </c>
      <c r="V82" s="14">
        <v>46116</v>
      </c>
      <c r="W82" s="14">
        <v>46117</v>
      </c>
      <c r="X82" s="14">
        <v>46130</v>
      </c>
      <c r="Y82" s="14">
        <v>46131</v>
      </c>
      <c r="Z82" s="14">
        <v>46138</v>
      </c>
      <c r="AA82" s="14">
        <v>46144</v>
      </c>
      <c r="AB82" s="14">
        <v>46145</v>
      </c>
      <c r="AC82" s="14">
        <v>46158</v>
      </c>
      <c r="AD82" s="14">
        <v>46159</v>
      </c>
      <c r="CI82" s="4" t="str">
        <f t="shared" si="2"/>
        <v>1</v>
      </c>
      <c r="CJ82" s="13">
        <f>IF(OR(P82="",CI82=""),"",P82/CI82)</f>
        <v>2600</v>
      </c>
      <c r="CK82" s="5">
        <f t="shared" ca="1" si="3"/>
        <v>46173</v>
      </c>
      <c r="CL82" s="13">
        <f ca="1">IF(OR(I82="",J82="",CJ82="",CK82=""),"",
IF(AND(J82&gt;=EOMONTH(CK82,-1)+1,I82&lt;=EOMONTH(CK82,0)),
CJ82*
(MAX(0,MIN(J82,EOMONTH(CK82,0)) - MAX(I82,EOMONTH(CK82,-1)+1) + 1)
/
DAY(EOMONTH(CK82,0))
),
0))</f>
        <v>0</v>
      </c>
    </row>
    <row r="83" spans="1:90" x14ac:dyDescent="0.2">
      <c r="A83" s="58">
        <v>101</v>
      </c>
      <c r="B83" s="58" t="s">
        <v>235</v>
      </c>
      <c r="C83" s="6">
        <v>43788</v>
      </c>
      <c r="D83" s="3">
        <f ca="1">DATEDIF(C83,TODAY(),"Y") + DATEDIF(C83,TODAY(),"YM")/10</f>
        <v>6.6</v>
      </c>
      <c r="E83" s="58" t="s">
        <v>236</v>
      </c>
      <c r="F83" s="3">
        <v>9970044627</v>
      </c>
      <c r="G83" s="7">
        <v>46077</v>
      </c>
      <c r="H83" s="7" t="str">
        <f ca="1">DATEDIF(G83,TODAY(),"M") &amp; " Months"</f>
        <v>3 Months</v>
      </c>
      <c r="I83" s="4">
        <v>46116</v>
      </c>
      <c r="J83" s="4">
        <f>EDATE(I83,1)</f>
        <v>46146</v>
      </c>
      <c r="K83" s="8">
        <v>7</v>
      </c>
      <c r="L83" s="8">
        <v>15</v>
      </c>
      <c r="M83" s="3">
        <f>I83+L83</f>
        <v>46131</v>
      </c>
      <c r="N83" s="9">
        <f ca="1">L83-(TODAY()-I83)</f>
        <v>-42</v>
      </c>
      <c r="O83" s="8" t="str">
        <f ca="1">IF(J83="","",
IF(TODAY()&lt;=J83,"Active",
IF(N83&gt;0,"Grace",
IF(N83&gt;-30,"Inactive","Freeze"))))</f>
        <v>Freeze</v>
      </c>
      <c r="P83" s="10">
        <v>1866</v>
      </c>
      <c r="Q83" s="11">
        <f>COUNTA(T83:CA83)</f>
        <v>7</v>
      </c>
      <c r="R83" s="3">
        <f>K83-Q83</f>
        <v>0</v>
      </c>
      <c r="S83" s="8" t="str">
        <f>IF(Q83&gt;=K83,"Complete","Incomplete")</f>
        <v>Complete</v>
      </c>
      <c r="T83" s="14">
        <v>46116</v>
      </c>
      <c r="U83" s="14">
        <v>46122</v>
      </c>
      <c r="V83" s="14">
        <v>46123</v>
      </c>
      <c r="W83" s="14">
        <v>46129</v>
      </c>
      <c r="X83" s="14">
        <v>46130</v>
      </c>
      <c r="Y83" s="14">
        <v>46131</v>
      </c>
      <c r="Z83" s="14">
        <v>46136</v>
      </c>
      <c r="CI83" s="4" t="str">
        <f t="shared" si="2"/>
        <v>1</v>
      </c>
      <c r="CJ83" s="13">
        <f>IF(OR(P83="",CI83=""),"",P83/CI83)</f>
        <v>1866</v>
      </c>
      <c r="CK83" s="5">
        <f t="shared" ca="1" si="3"/>
        <v>46173</v>
      </c>
      <c r="CL83" s="13">
        <f ca="1">IF(OR(I83="",J83="",CJ83="",CK83=""),"",
IF(AND(J83&gt;=EOMONTH(CK83,-1)+1,I83&lt;=EOMONTH(CK83,0)),
CJ83*
(MAX(0,MIN(J83,EOMONTH(CK83,0)) - MAX(I83,EOMONTH(CK83,-1)+1) + 1)
/
DAY(EOMONTH(CK83,0))
),
0))</f>
        <v>240.7741935483871</v>
      </c>
    </row>
    <row r="84" spans="1:90" x14ac:dyDescent="0.2">
      <c r="A84" s="58">
        <v>102</v>
      </c>
      <c r="B84" s="58" t="s">
        <v>237</v>
      </c>
      <c r="C84" s="6">
        <v>44280</v>
      </c>
      <c r="D84" s="3">
        <f ca="1">DATEDIF(C84,TODAY(),"Y") + DATEDIF(C84,TODAY(),"YM")/10</f>
        <v>5.2</v>
      </c>
      <c r="E84" s="58" t="s">
        <v>238</v>
      </c>
      <c r="F84" s="3">
        <v>8218005949</v>
      </c>
      <c r="G84" s="7">
        <v>46079</v>
      </c>
      <c r="H84" s="7" t="str">
        <f ca="1">DATEDIF(G84,TODAY(),"M") &amp; " Months"</f>
        <v>3 Months</v>
      </c>
      <c r="I84" s="4">
        <v>46079</v>
      </c>
      <c r="J84" s="4">
        <f>EDATE(I84,3)</f>
        <v>46168</v>
      </c>
      <c r="K84" s="8">
        <v>36</v>
      </c>
      <c r="L84" s="8">
        <v>108</v>
      </c>
      <c r="M84" s="3">
        <f>I84+L84</f>
        <v>46187</v>
      </c>
      <c r="N84" s="9">
        <f ca="1">L84-(TODAY()-I84)</f>
        <v>14</v>
      </c>
      <c r="O84" s="8" t="str">
        <f ca="1">IF(J84="","",
IF(TODAY()&lt;=J84,"Active",
IF(N84&gt;0,"Grace",
IF(N84&gt;-30,"Inactive","Freeze"))))</f>
        <v>Grace</v>
      </c>
      <c r="P84" s="10">
        <v>8640</v>
      </c>
      <c r="Q84" s="11">
        <f>COUNTA(T84:CA84)</f>
        <v>23</v>
      </c>
      <c r="R84" s="3">
        <f>K84-Q84</f>
        <v>13</v>
      </c>
      <c r="S84" s="8" t="str">
        <f>IF(Q84&gt;=K84,"Complete","Incomplete")</f>
        <v>Incomplete</v>
      </c>
      <c r="T84" s="14">
        <v>46079</v>
      </c>
      <c r="U84" s="14">
        <v>46080</v>
      </c>
      <c r="V84" s="14">
        <v>46081</v>
      </c>
      <c r="W84" s="14">
        <v>46083</v>
      </c>
      <c r="X84" s="14">
        <v>46098</v>
      </c>
      <c r="Y84" s="14">
        <v>46104</v>
      </c>
      <c r="Z84" s="14">
        <v>46107</v>
      </c>
      <c r="AA84" s="14">
        <v>46108</v>
      </c>
      <c r="AB84" s="14">
        <v>46112</v>
      </c>
      <c r="AC84" s="14">
        <v>46115</v>
      </c>
      <c r="AD84" s="14">
        <v>46116</v>
      </c>
      <c r="AE84" s="14">
        <v>46117</v>
      </c>
      <c r="AF84" s="14">
        <v>46118</v>
      </c>
      <c r="AG84" s="14">
        <v>46119</v>
      </c>
      <c r="AH84" s="14">
        <v>46120</v>
      </c>
      <c r="AI84" s="14">
        <v>46121</v>
      </c>
      <c r="AJ84" s="14">
        <v>46122</v>
      </c>
      <c r="AK84" s="14">
        <v>46127</v>
      </c>
      <c r="AL84" s="14">
        <v>46129</v>
      </c>
      <c r="AM84" s="14">
        <v>46130</v>
      </c>
      <c r="AN84" s="14">
        <v>46132</v>
      </c>
      <c r="AO84" s="14">
        <v>46135</v>
      </c>
      <c r="AP84" s="14">
        <v>46137</v>
      </c>
      <c r="CI84" s="4" t="str">
        <f t="shared" si="2"/>
        <v>3</v>
      </c>
      <c r="CJ84" s="13">
        <f>IF(OR(P84="",CI84=""),"",P84/CI84)</f>
        <v>2880</v>
      </c>
      <c r="CK84" s="5">
        <f t="shared" ca="1" si="3"/>
        <v>46173</v>
      </c>
      <c r="CL84" s="13">
        <f ca="1">IF(OR(I84="",J84="",CJ84="",CK84=""),"",
IF(AND(J84&gt;=EOMONTH(CK84,-1)+1,I84&lt;=EOMONTH(CK84,0)),
CJ84*
(MAX(0,MIN(J84,EOMONTH(CK84,0)) - MAX(I84,EOMONTH(CK84,-1)+1) + 1)
/
DAY(EOMONTH(CK84,0))
),
0))</f>
        <v>2415.483870967742</v>
      </c>
    </row>
    <row r="85" spans="1:90" x14ac:dyDescent="0.2">
      <c r="A85" s="58">
        <v>103</v>
      </c>
      <c r="B85" s="58" t="s">
        <v>239</v>
      </c>
      <c r="C85" s="6">
        <v>44493</v>
      </c>
      <c r="D85" s="3">
        <f ca="1">DATEDIF(C85,TODAY(),"Y") + DATEDIF(C85,TODAY(),"YM")/10</f>
        <v>4.7</v>
      </c>
      <c r="E85" s="58" t="s">
        <v>240</v>
      </c>
      <c r="F85" s="3">
        <v>9890669310</v>
      </c>
      <c r="G85" s="7">
        <v>46079</v>
      </c>
      <c r="H85" s="7" t="str">
        <f ca="1">DATEDIF(G85,TODAY(),"M") &amp; " Months"</f>
        <v>3 Months</v>
      </c>
      <c r="I85" s="4">
        <v>46079</v>
      </c>
      <c r="J85" s="4">
        <f>EDATE(I85,1)</f>
        <v>46107</v>
      </c>
      <c r="K85" s="8">
        <v>12</v>
      </c>
      <c r="L85" s="8">
        <v>36</v>
      </c>
      <c r="M85" s="3">
        <f>I85+L85</f>
        <v>46115</v>
      </c>
      <c r="N85" s="9">
        <f ca="1">L85-(TODAY()-I85)</f>
        <v>-58</v>
      </c>
      <c r="O85" s="8" t="str">
        <f ca="1">IF(J85="","",
IF(TODAY()&lt;=J85,"Active",
IF(N85&gt;0,"Grace",
IF(N85&gt;-30,"Inactive","Freeze"))))</f>
        <v>Freeze</v>
      </c>
      <c r="P85" s="10">
        <v>3200</v>
      </c>
      <c r="Q85" s="11">
        <f>COUNTA(T85:CA85)</f>
        <v>10</v>
      </c>
      <c r="R85" s="3">
        <f>K85-Q85</f>
        <v>2</v>
      </c>
      <c r="S85" s="8" t="str">
        <f>IF(Q85&gt;=K85,"Complete","Incomplete")</f>
        <v>Incomplete</v>
      </c>
      <c r="T85" s="14">
        <v>46080</v>
      </c>
      <c r="U85" s="14">
        <v>46083</v>
      </c>
      <c r="V85" s="14">
        <v>46085</v>
      </c>
      <c r="W85" s="14">
        <v>46086</v>
      </c>
      <c r="X85" s="14">
        <v>46090</v>
      </c>
      <c r="Y85" s="14">
        <v>46092</v>
      </c>
      <c r="Z85" s="14">
        <v>46093</v>
      </c>
      <c r="AA85" s="14">
        <v>46098</v>
      </c>
      <c r="AB85" s="14">
        <v>46101</v>
      </c>
      <c r="AC85" s="14">
        <v>46105</v>
      </c>
      <c r="CI85" s="4" t="str">
        <f t="shared" si="2"/>
        <v>1</v>
      </c>
      <c r="CJ85" s="13">
        <f>IF(OR(P85="",CI85=""),"",P85/CI85)</f>
        <v>3200</v>
      </c>
      <c r="CK85" s="5">
        <f t="shared" ca="1" si="3"/>
        <v>46173</v>
      </c>
      <c r="CL85" s="13">
        <f ca="1">IF(OR(I85="",J85="",CJ85="",CK85=""),"",
IF(AND(J85&gt;=EOMONTH(CK85,-1)+1,I85&lt;=EOMONTH(CK85,0)),
CJ85*
(MAX(0,MIN(J85,EOMONTH(CK85,0)) - MAX(I85,EOMONTH(CK85,-1)+1) + 1)
/
DAY(EOMONTH(CK85,0))
),
0))</f>
        <v>0</v>
      </c>
    </row>
    <row r="86" spans="1:90" x14ac:dyDescent="0.2">
      <c r="A86" s="58">
        <v>104</v>
      </c>
      <c r="B86" s="58" t="s">
        <v>241</v>
      </c>
      <c r="C86" s="6">
        <v>43188</v>
      </c>
      <c r="D86" s="3">
        <f ca="1">DATEDIF(C86,TODAY(),"Y") + DATEDIF(C86,TODAY(),"YM")/10</f>
        <v>8.1999999999999993</v>
      </c>
      <c r="E86" s="58" t="s">
        <v>242</v>
      </c>
      <c r="F86" s="3">
        <v>9561081070</v>
      </c>
      <c r="G86" s="7">
        <v>46080</v>
      </c>
      <c r="H86" s="7" t="str">
        <f ca="1">DATEDIF(G86,TODAY(),"M") &amp; " Months"</f>
        <v>3 Months</v>
      </c>
      <c r="I86" s="4">
        <v>46077</v>
      </c>
      <c r="J86" s="4">
        <f>EDATE(I86,3)</f>
        <v>46166</v>
      </c>
      <c r="K86" s="8">
        <v>36</v>
      </c>
      <c r="L86" s="8">
        <v>108</v>
      </c>
      <c r="M86" s="3">
        <f>I86+L86</f>
        <v>46185</v>
      </c>
      <c r="N86" s="9">
        <f ca="1">L86-(TODAY()-I86)</f>
        <v>12</v>
      </c>
      <c r="O86" s="8" t="str">
        <f ca="1">IF(J86="","",
IF(TODAY()&lt;=J86,"Active",
IF(N86&gt;0,"Grace",
IF(N86&gt;-30,"Inactive","Freeze"))))</f>
        <v>Grace</v>
      </c>
      <c r="P86" s="10">
        <v>8640</v>
      </c>
      <c r="Q86" s="11">
        <f>COUNTA(T86:CA86)</f>
        <v>28</v>
      </c>
      <c r="R86" s="3">
        <f>K86-Q86</f>
        <v>8</v>
      </c>
      <c r="S86" s="8" t="str">
        <f>IF(Q86&gt;=K86,"Complete","Incomplete")</f>
        <v>Incomplete</v>
      </c>
      <c r="T86" s="14">
        <v>46077</v>
      </c>
      <c r="U86" s="14">
        <v>46085</v>
      </c>
      <c r="V86" s="14">
        <v>46086</v>
      </c>
      <c r="W86" s="14">
        <v>46087</v>
      </c>
      <c r="X86" s="14">
        <v>46088</v>
      </c>
      <c r="Y86" s="14">
        <v>46090</v>
      </c>
      <c r="Z86" s="14">
        <v>46091</v>
      </c>
      <c r="AA86" s="14">
        <v>46094</v>
      </c>
      <c r="AB86" s="14">
        <v>46098</v>
      </c>
      <c r="AC86" s="14">
        <v>46101</v>
      </c>
      <c r="AD86" s="14">
        <v>46104</v>
      </c>
      <c r="AE86" s="14">
        <v>46105</v>
      </c>
      <c r="AF86" s="14">
        <v>46106</v>
      </c>
      <c r="AG86" s="14">
        <v>46107</v>
      </c>
      <c r="AH86" s="14">
        <v>46111</v>
      </c>
      <c r="AI86" s="14">
        <v>46112</v>
      </c>
      <c r="AJ86" s="14">
        <v>46119</v>
      </c>
      <c r="AK86" s="14">
        <v>46121</v>
      </c>
      <c r="AL86" s="14">
        <v>46122</v>
      </c>
      <c r="AM86" s="14">
        <v>46125</v>
      </c>
      <c r="AN86" s="14">
        <v>46126</v>
      </c>
      <c r="AO86" s="14">
        <v>46127</v>
      </c>
      <c r="AP86" s="14">
        <v>46129</v>
      </c>
      <c r="AQ86" s="14">
        <v>46133</v>
      </c>
      <c r="AR86" s="14">
        <v>46134</v>
      </c>
      <c r="AS86" s="14">
        <v>46135</v>
      </c>
      <c r="AT86" s="14">
        <v>46140</v>
      </c>
      <c r="AU86" s="14">
        <v>46141</v>
      </c>
      <c r="CI86" s="4" t="str">
        <f t="shared" si="2"/>
        <v>3</v>
      </c>
      <c r="CJ86" s="13">
        <f>IF(OR(P86="",CI86=""),"",P86/CI86)</f>
        <v>2880</v>
      </c>
      <c r="CK86" s="5">
        <f t="shared" ca="1" si="3"/>
        <v>46173</v>
      </c>
      <c r="CL86" s="13">
        <f ca="1">IF(OR(I86="",J86="",CJ86="",CK86=""),"",
IF(AND(J86&gt;=EOMONTH(CK86,-1)+1,I86&lt;=EOMONTH(CK86,0)),
CJ86*
(MAX(0,MIN(J86,EOMONTH(CK86,0)) - MAX(I86,EOMONTH(CK86,-1)+1) + 1)
/
DAY(EOMONTH(CK86,0))
),
0))</f>
        <v>2229.6774193548385</v>
      </c>
    </row>
    <row r="87" spans="1:90" x14ac:dyDescent="0.2">
      <c r="A87" s="58">
        <v>105</v>
      </c>
      <c r="B87" s="58" t="s">
        <v>243</v>
      </c>
      <c r="C87" s="6">
        <v>43811</v>
      </c>
      <c r="D87" s="3">
        <f ca="1">DATEDIF(C87,TODAY(),"Y") + DATEDIF(C87,TODAY(),"YM")/10</f>
        <v>6.5</v>
      </c>
      <c r="E87" s="58" t="s">
        <v>244</v>
      </c>
      <c r="F87" s="3">
        <v>8806668744</v>
      </c>
      <c r="G87" s="7">
        <v>46085</v>
      </c>
      <c r="H87" s="7" t="str">
        <f ca="1">DATEDIF(G87,TODAY(),"M") &amp; " Months"</f>
        <v>2 Months</v>
      </c>
      <c r="I87" s="4">
        <v>46108</v>
      </c>
      <c r="J87" s="4">
        <f>EDATE(I87,3)</f>
        <v>46200</v>
      </c>
      <c r="K87" s="8">
        <v>36</v>
      </c>
      <c r="L87" s="8">
        <v>108</v>
      </c>
      <c r="M87" s="3">
        <f>I87+L87</f>
        <v>46216</v>
      </c>
      <c r="N87" s="9">
        <f ca="1">L87-(TODAY()-I87)</f>
        <v>43</v>
      </c>
      <c r="O87" s="8" t="str">
        <f ca="1">IF(J87="","",
IF(TODAY()&lt;=J87,"Active",
IF(N87&gt;0,"Grace",
IF(N87&gt;-30,"Inactive","Freeze"))))</f>
        <v>Active</v>
      </c>
      <c r="P87" s="10">
        <v>8640</v>
      </c>
      <c r="Q87" s="11">
        <f>COUNTA(T87:CA87)</f>
        <v>23</v>
      </c>
      <c r="R87" s="3">
        <f>K87-Q87</f>
        <v>13</v>
      </c>
      <c r="S87" s="8" t="str">
        <f>IF(Q87&gt;=K87,"Complete","Incomplete")</f>
        <v>Incomplete</v>
      </c>
      <c r="T87" s="14">
        <v>46111</v>
      </c>
      <c r="U87" s="14">
        <v>46113</v>
      </c>
      <c r="V87" s="14">
        <v>46118</v>
      </c>
      <c r="W87" s="14">
        <v>46119</v>
      </c>
      <c r="X87" s="14">
        <v>46122</v>
      </c>
      <c r="Y87" s="14">
        <v>46125</v>
      </c>
      <c r="Z87" s="14">
        <v>46127</v>
      </c>
      <c r="AA87" s="14">
        <v>46129</v>
      </c>
      <c r="AB87" s="14">
        <v>46132</v>
      </c>
      <c r="AC87" s="14">
        <v>46134</v>
      </c>
      <c r="AD87" s="14">
        <v>46136</v>
      </c>
      <c r="AE87" s="14">
        <v>46146</v>
      </c>
      <c r="AF87" s="14">
        <v>46147</v>
      </c>
      <c r="AG87" s="14">
        <v>46148</v>
      </c>
      <c r="AH87" s="14">
        <v>46150</v>
      </c>
      <c r="AI87" s="14">
        <v>46153</v>
      </c>
      <c r="AJ87" s="14">
        <v>46155</v>
      </c>
      <c r="AK87" s="14">
        <v>46157</v>
      </c>
      <c r="AL87" s="14">
        <v>46160</v>
      </c>
      <c r="AM87" s="14">
        <v>46163</v>
      </c>
      <c r="AN87" s="14">
        <v>46164</v>
      </c>
      <c r="AO87" s="14">
        <v>46167</v>
      </c>
      <c r="AP87" s="14">
        <v>46171</v>
      </c>
      <c r="CI87" s="4" t="str">
        <f t="shared" si="2"/>
        <v>3</v>
      </c>
      <c r="CJ87" s="13">
        <f>IF(OR(P87="",CI87=""),"",P87/CI87)</f>
        <v>2880</v>
      </c>
      <c r="CK87" s="5">
        <f t="shared" ca="1" si="3"/>
        <v>46173</v>
      </c>
      <c r="CL87" s="13">
        <f ca="1">IF(OR(I87="",J87="",CJ87="",CK87=""),"",
IF(AND(J87&gt;=EOMONTH(CK87,-1)+1,I87&lt;=EOMONTH(CK87,0)),
CJ87*
(MAX(0,MIN(J87,EOMONTH(CK87,0)) - MAX(I87,EOMONTH(CK87,-1)+1) + 1)
/
DAY(EOMONTH(CK87,0))
),
0))</f>
        <v>2880</v>
      </c>
    </row>
    <row r="88" spans="1:90" x14ac:dyDescent="0.2">
      <c r="A88" s="58">
        <v>106</v>
      </c>
      <c r="B88" s="58" t="s">
        <v>245</v>
      </c>
      <c r="C88" s="6">
        <v>45218</v>
      </c>
      <c r="D88" s="3">
        <f ca="1">DATEDIF(C88,TODAY(),"Y") + DATEDIF(C88,TODAY(),"YM")/10</f>
        <v>2.7</v>
      </c>
      <c r="E88" s="58" t="s">
        <v>246</v>
      </c>
      <c r="F88" s="3">
        <v>9158534417</v>
      </c>
      <c r="G88" s="7">
        <v>46088</v>
      </c>
      <c r="H88" s="7" t="str">
        <f ca="1">DATEDIF(G88,TODAY(),"M") &amp; " Months"</f>
        <v>2 Months</v>
      </c>
      <c r="I88" s="4">
        <v>46088</v>
      </c>
      <c r="J88" s="4">
        <f>EDATE(I88,1)</f>
        <v>46119</v>
      </c>
      <c r="K88" s="8">
        <v>12</v>
      </c>
      <c r="L88" s="8">
        <v>36</v>
      </c>
      <c r="M88" s="3">
        <f>I88+L88</f>
        <v>46124</v>
      </c>
      <c r="N88" s="9">
        <f ca="1">L88-(TODAY()-I88)</f>
        <v>-49</v>
      </c>
      <c r="O88" s="8" t="str">
        <f ca="1">IF(J88="","",
IF(TODAY()&lt;=J88,"Active",
IF(N88&gt;0,"Grace",
IF(N88&gt;-30,"Inactive","Freeze"))))</f>
        <v>Freeze</v>
      </c>
      <c r="P88" s="10">
        <v>3200</v>
      </c>
      <c r="Q88" s="11">
        <f>COUNTA(T88:CA88)</f>
        <v>3</v>
      </c>
      <c r="R88" s="3">
        <f>K88-Q88</f>
        <v>9</v>
      </c>
      <c r="S88" s="8" t="str">
        <f>IF(Q88&gt;=K88,"Complete","Incomplete")</f>
        <v>Incomplete</v>
      </c>
      <c r="T88" s="14">
        <v>46091</v>
      </c>
      <c r="U88" s="14">
        <v>46094</v>
      </c>
      <c r="V88" s="14">
        <v>46106</v>
      </c>
      <c r="CI88" s="4" t="str">
        <f t="shared" si="2"/>
        <v>1</v>
      </c>
      <c r="CJ88" s="13">
        <f>IF(OR(P88="",CI88=""),"",P88/CI88)</f>
        <v>3200</v>
      </c>
      <c r="CK88" s="5">
        <f t="shared" ca="1" si="3"/>
        <v>46173</v>
      </c>
      <c r="CL88" s="13">
        <f ca="1">IF(OR(I88="",J88="",CJ88="",CK88=""),"",
IF(AND(J88&gt;=EOMONTH(CK88,-1)+1,I88&lt;=EOMONTH(CK88,0)),
CJ88*
(MAX(0,MIN(J88,EOMONTH(CK88,0)) - MAX(I88,EOMONTH(CK88,-1)+1) + 1)
/
DAY(EOMONTH(CK88,0))
),
0))</f>
        <v>0</v>
      </c>
    </row>
    <row r="89" spans="1:90" x14ac:dyDescent="0.2">
      <c r="A89" s="58">
        <v>107</v>
      </c>
      <c r="B89" s="58" t="s">
        <v>247</v>
      </c>
      <c r="C89" s="6">
        <v>41566</v>
      </c>
      <c r="D89" s="3">
        <f ca="1">DATEDIF(C89,TODAY(),"Y") + DATEDIF(C89,TODAY(),"YM")/10</f>
        <v>12.7</v>
      </c>
      <c r="E89" s="58" t="s">
        <v>248</v>
      </c>
      <c r="F89" s="3">
        <v>9545696644</v>
      </c>
      <c r="G89" s="7">
        <v>46089</v>
      </c>
      <c r="H89" s="7" t="str">
        <f ca="1">DATEDIF(G89,TODAY(),"M") &amp; " Months"</f>
        <v>2 Months</v>
      </c>
      <c r="I89" s="4">
        <v>46107</v>
      </c>
      <c r="J89" s="4">
        <f>EDATE(I89,1)</f>
        <v>46138</v>
      </c>
      <c r="K89" s="8">
        <v>5</v>
      </c>
      <c r="L89" s="8">
        <v>30</v>
      </c>
      <c r="M89" s="3">
        <f>I89+L89</f>
        <v>46137</v>
      </c>
      <c r="N89" s="9">
        <f ca="1">L89-(TODAY()-I89)</f>
        <v>-36</v>
      </c>
      <c r="O89" s="8" t="str">
        <f ca="1">IF(J89="","",
IF(TODAY()&lt;=J89,"Active",
IF(N89&gt;0,"Grace",
IF(N89&gt;-30,"Inactive","Freeze"))))</f>
        <v>Freeze</v>
      </c>
      <c r="P89" s="10">
        <v>1333</v>
      </c>
      <c r="Q89" s="11">
        <f>COUNTA(T89:CA89)</f>
        <v>4</v>
      </c>
      <c r="R89" s="3">
        <f>K89-Q89</f>
        <v>1</v>
      </c>
      <c r="S89" s="8" t="str">
        <f>IF(Q89&gt;=K89,"Complete","Incomplete")</f>
        <v>Incomplete</v>
      </c>
      <c r="T89" s="14">
        <v>46124</v>
      </c>
      <c r="U89" s="14">
        <v>46130</v>
      </c>
      <c r="V89" s="14">
        <v>46131</v>
      </c>
      <c r="W89" s="14">
        <v>46138</v>
      </c>
      <c r="X89" s="14"/>
      <c r="CI89" s="4" t="str">
        <f t="shared" si="2"/>
        <v>1</v>
      </c>
      <c r="CJ89" s="13">
        <f>IF(OR(P89="",CI89=""),"",P89/CI89)</f>
        <v>1333</v>
      </c>
      <c r="CK89" s="5">
        <f t="shared" ca="1" si="3"/>
        <v>46173</v>
      </c>
      <c r="CL89" s="13">
        <f ca="1">IF(OR(I89="",J89="",CJ89="",CK89=""),"",
IF(AND(J89&gt;=EOMONTH(CK89,-1)+1,I89&lt;=EOMONTH(CK89,0)),
CJ89*
(MAX(0,MIN(J89,EOMONTH(CK89,0)) - MAX(I89,EOMONTH(CK89,-1)+1) + 1)
/
DAY(EOMONTH(CK89,0))
),
0))</f>
        <v>0</v>
      </c>
    </row>
    <row r="90" spans="1:90" x14ac:dyDescent="0.2">
      <c r="A90" s="58">
        <v>108</v>
      </c>
      <c r="B90" s="58" t="s">
        <v>249</v>
      </c>
      <c r="C90" s="6">
        <v>43809</v>
      </c>
      <c r="D90" s="3">
        <f ca="1">DATEDIF(C90,TODAY(),"Y") + DATEDIF(C90,TODAY(),"YM")/10</f>
        <v>6.5</v>
      </c>
      <c r="E90" s="58" t="s">
        <v>250</v>
      </c>
      <c r="F90" s="3">
        <v>9860576921</v>
      </c>
      <c r="G90" s="7">
        <v>46089</v>
      </c>
      <c r="H90" s="7" t="str">
        <f ca="1">DATEDIF(G90,TODAY(),"M") &amp; " Months"</f>
        <v>2 Months</v>
      </c>
      <c r="I90" s="4">
        <v>46130</v>
      </c>
      <c r="J90" s="4">
        <f>EDATE(I90,1)</f>
        <v>46160</v>
      </c>
      <c r="K90" s="8">
        <v>8</v>
      </c>
      <c r="L90" s="8">
        <v>34</v>
      </c>
      <c r="M90" s="3">
        <f>I90+L90</f>
        <v>46164</v>
      </c>
      <c r="N90" s="9">
        <f ca="1">L90-(TODAY()-I90)</f>
        <v>-9</v>
      </c>
      <c r="O90" s="8" t="str">
        <f ca="1">IF(J90="","",
IF(TODAY()&lt;=J90,"Active",
IF(N90&gt;0,"Grace",
IF(N90&gt;-30,"Inactive","Freeze"))))</f>
        <v>Inactive</v>
      </c>
      <c r="P90" s="10">
        <v>2600</v>
      </c>
      <c r="Q90" s="11">
        <f>COUNTA(T90:CA90)</f>
        <v>8</v>
      </c>
      <c r="R90" s="3">
        <f>K90-Q90</f>
        <v>0</v>
      </c>
      <c r="S90" s="8" t="str">
        <f>IF(Q90&gt;=K90,"Complete","Incomplete")</f>
        <v>Complete</v>
      </c>
      <c r="T90" s="14">
        <v>46130</v>
      </c>
      <c r="U90" s="14">
        <v>46131</v>
      </c>
      <c r="V90" s="14">
        <v>46137</v>
      </c>
      <c r="W90" s="14">
        <v>46138</v>
      </c>
      <c r="X90" s="14">
        <v>46144</v>
      </c>
      <c r="Y90" s="14">
        <v>46150</v>
      </c>
      <c r="Z90" s="14">
        <v>46152</v>
      </c>
      <c r="AA90" s="14">
        <v>46158</v>
      </c>
      <c r="CI90" s="4" t="str">
        <f t="shared" si="2"/>
        <v>1</v>
      </c>
      <c r="CJ90" s="13">
        <f>IF(OR(P90="",CI90=""),"",P90/CI90)</f>
        <v>2600</v>
      </c>
      <c r="CK90" s="5">
        <f t="shared" ca="1" si="3"/>
        <v>46173</v>
      </c>
      <c r="CL90" s="13">
        <f ca="1">IF(OR(I90="",J90="",CJ90="",CK90=""),"",
IF(AND(J90&gt;=EOMONTH(CK90,-1)+1,I90&lt;=EOMONTH(CK90,0)),
CJ90*
(MAX(0,MIN(J90,EOMONTH(CK90,0)) - MAX(I90,EOMONTH(CK90,-1)+1) + 1)
/
DAY(EOMONTH(CK90,0))
),
0))</f>
        <v>1509.6774193548388</v>
      </c>
    </row>
    <row r="91" spans="1:90" x14ac:dyDescent="0.2">
      <c r="A91" s="58">
        <v>109</v>
      </c>
      <c r="B91" s="58" t="s">
        <v>251</v>
      </c>
      <c r="C91" s="6">
        <v>42571</v>
      </c>
      <c r="D91" s="3">
        <f ca="1">DATEDIF(C91,TODAY(),"Y") + DATEDIF(C91,TODAY(),"YM")/10</f>
        <v>10</v>
      </c>
      <c r="E91" s="58" t="s">
        <v>252</v>
      </c>
      <c r="F91" s="3">
        <v>9850080880</v>
      </c>
      <c r="G91" s="19">
        <v>46091</v>
      </c>
      <c r="H91" s="7" t="str">
        <f ca="1">DATEDIF(G91,TODAY(),"M") &amp; " Months"</f>
        <v>2 Months</v>
      </c>
      <c r="I91" s="4">
        <v>46091</v>
      </c>
      <c r="J91" s="4">
        <f>EDATE(I91,1)</f>
        <v>46122</v>
      </c>
      <c r="K91" s="8">
        <v>8</v>
      </c>
      <c r="L91" s="8">
        <v>34</v>
      </c>
      <c r="M91" s="3">
        <f>I91+L91</f>
        <v>46125</v>
      </c>
      <c r="N91" s="9">
        <f ca="1">L91-(TODAY()-I91)</f>
        <v>-48</v>
      </c>
      <c r="O91" s="8" t="str">
        <f ca="1">IF(J91="","",
IF(TODAY()&lt;=J91,"Active",
IF(N91&gt;0,"Grace",
IF(N91&gt;-30,"Inactive","Freeze"))))</f>
        <v>Freeze</v>
      </c>
      <c r="P91" s="10">
        <v>2600</v>
      </c>
      <c r="Q91" s="11">
        <f>COUNTA(T91:CA91)</f>
        <v>8</v>
      </c>
      <c r="R91" s="3">
        <f>K91-Q91</f>
        <v>0</v>
      </c>
      <c r="S91" s="8" t="str">
        <f>IF(Q91&gt;=K91,"Complete","Incomplete")</f>
        <v>Complete</v>
      </c>
      <c r="T91" s="14">
        <v>46093</v>
      </c>
      <c r="U91" s="14">
        <v>46098</v>
      </c>
      <c r="V91" s="14">
        <v>46105</v>
      </c>
      <c r="W91" s="14">
        <v>46107</v>
      </c>
      <c r="X91" s="14">
        <v>46112</v>
      </c>
      <c r="Y91" s="14">
        <v>46119</v>
      </c>
      <c r="Z91" s="14">
        <v>46121</v>
      </c>
      <c r="AA91" s="14">
        <v>46126</v>
      </c>
      <c r="CD91" s="20"/>
      <c r="CI91" s="4" t="str">
        <f t="shared" si="2"/>
        <v>1</v>
      </c>
      <c r="CJ91" s="13">
        <f>IF(OR(P91="",CI91=""),"",P91/CI91)</f>
        <v>2600</v>
      </c>
      <c r="CK91" s="5">
        <f t="shared" ca="1" si="3"/>
        <v>46173</v>
      </c>
      <c r="CL91" s="13">
        <f ca="1">IF(OR(I91="",J91="",CJ91="",CK91=""),"",
IF(AND(J91&gt;=EOMONTH(CK91,-1)+1,I91&lt;=EOMONTH(CK91,0)),
CJ91*
(MAX(0,MIN(J91,EOMONTH(CK91,0)) - MAX(I91,EOMONTH(CK91,-1)+1) + 1)
/
DAY(EOMONTH(CK91,0))
),
0))</f>
        <v>0</v>
      </c>
    </row>
    <row r="92" spans="1:90" x14ac:dyDescent="0.2">
      <c r="A92" s="58">
        <v>110</v>
      </c>
      <c r="B92" s="58" t="s">
        <v>253</v>
      </c>
      <c r="C92" s="6">
        <v>40179</v>
      </c>
      <c r="D92" s="3">
        <f ca="1">DATEDIF(C92,TODAY(),"Y") + DATEDIF(C92,TODAY(),"YM")/10</f>
        <v>16.399999999999999</v>
      </c>
      <c r="E92" s="58" t="s">
        <v>254</v>
      </c>
      <c r="F92" s="3">
        <v>9867118292</v>
      </c>
      <c r="G92" s="7">
        <v>46091</v>
      </c>
      <c r="H92" s="7" t="str">
        <f ca="1">DATEDIF(G92,TODAY(),"M") &amp; " Months"</f>
        <v>2 Months</v>
      </c>
      <c r="I92" s="4">
        <v>46091</v>
      </c>
      <c r="J92" s="4">
        <f>EDATE(I92,1)</f>
        <v>46122</v>
      </c>
      <c r="K92" s="8">
        <v>12</v>
      </c>
      <c r="L92" s="8">
        <v>36</v>
      </c>
      <c r="M92" s="3">
        <f>I92+L92</f>
        <v>46127</v>
      </c>
      <c r="N92" s="9">
        <f ca="1">L92-(TODAY()-I92)</f>
        <v>-46</v>
      </c>
      <c r="O92" s="8" t="str">
        <f ca="1">IF(J92="","",
IF(TODAY()&lt;=J92,"Active",
IF(N92&gt;0,"Grace",
IF(N92&gt;-30,"Inactive","Freeze"))))</f>
        <v>Freeze</v>
      </c>
      <c r="P92" s="10">
        <v>3200</v>
      </c>
      <c r="Q92" s="11">
        <f>COUNTA(T92:CA92)</f>
        <v>11</v>
      </c>
      <c r="R92" s="3">
        <f>K92-Q92</f>
        <v>1</v>
      </c>
      <c r="S92" s="8" t="str">
        <f>IF(Q92&gt;=K92,"Complete","Incomplete")</f>
        <v>Incomplete</v>
      </c>
      <c r="T92" s="14">
        <v>46093</v>
      </c>
      <c r="U92" s="14">
        <v>46095</v>
      </c>
      <c r="V92" s="14">
        <v>46098</v>
      </c>
      <c r="W92" s="14">
        <v>46105</v>
      </c>
      <c r="X92" s="14">
        <v>46107</v>
      </c>
      <c r="Y92" s="14">
        <v>46109</v>
      </c>
      <c r="Z92" s="14">
        <v>46112</v>
      </c>
      <c r="AA92" s="14">
        <v>46113</v>
      </c>
      <c r="AB92" s="14">
        <v>46115</v>
      </c>
      <c r="AC92" s="14">
        <v>46116</v>
      </c>
      <c r="AD92" s="14">
        <v>46117</v>
      </c>
      <c r="CI92" s="4" t="str">
        <f t="shared" si="2"/>
        <v>1</v>
      </c>
      <c r="CJ92" s="13">
        <f>IF(OR(P92="",CI92=""),"",P92/CI92)</f>
        <v>3200</v>
      </c>
      <c r="CK92" s="5">
        <f t="shared" ca="1" si="3"/>
        <v>46173</v>
      </c>
      <c r="CL92" s="13">
        <f ca="1">IF(OR(I92="",J92="",CJ92="",CK92=""),"",
IF(AND(J92&gt;=EOMONTH(CK92,-1)+1,I92&lt;=EOMONTH(CK92,0)),
CJ92*
(MAX(0,MIN(J92,EOMONTH(CK92,0)) - MAX(I92,EOMONTH(CK92,-1)+1) + 1)
/
DAY(EOMONTH(CK92,0))
),
0))</f>
        <v>0</v>
      </c>
    </row>
    <row r="93" spans="1:90" x14ac:dyDescent="0.2">
      <c r="A93" s="58">
        <v>111</v>
      </c>
      <c r="B93" s="58" t="s">
        <v>255</v>
      </c>
      <c r="C93" s="6">
        <v>42240</v>
      </c>
      <c r="D93" s="3">
        <f ca="1">DATEDIF(C93,TODAY(),"Y") + DATEDIF(C93,TODAY(),"YM")/10</f>
        <v>10.9</v>
      </c>
      <c r="E93" s="58" t="s">
        <v>256</v>
      </c>
      <c r="F93" s="3">
        <v>8319222514</v>
      </c>
      <c r="G93" s="7">
        <v>46093</v>
      </c>
      <c r="H93" s="7" t="str">
        <f ca="1">DATEDIF(G93,TODAY(),"M") &amp; " Months"</f>
        <v>2 Months</v>
      </c>
      <c r="I93" s="4">
        <v>46093</v>
      </c>
      <c r="J93" s="4">
        <f>EDATE(I93,1)</f>
        <v>46124</v>
      </c>
      <c r="K93" s="8">
        <v>12</v>
      </c>
      <c r="L93" s="8">
        <v>36</v>
      </c>
      <c r="M93" s="3">
        <f>I93+L93</f>
        <v>46129</v>
      </c>
      <c r="N93" s="9">
        <f ca="1">L93-(TODAY()-I93)</f>
        <v>-44</v>
      </c>
      <c r="O93" s="8" t="str">
        <f ca="1">IF(J93="","",
IF(TODAY()&lt;=J93,"Active",
IF(N93&gt;0,"Grace",
IF(N93&gt;-30,"Inactive","Freeze"))))</f>
        <v>Freeze</v>
      </c>
      <c r="P93" s="10">
        <v>3200</v>
      </c>
      <c r="Q93" s="11">
        <f>COUNTA(T93:CA93)</f>
        <v>12</v>
      </c>
      <c r="R93" s="3">
        <f>K93-Q93</f>
        <v>0</v>
      </c>
      <c r="S93" s="8" t="str">
        <f>IF(Q93&gt;=K93,"Complete","Incomplete")</f>
        <v>Complete</v>
      </c>
      <c r="T93" s="14">
        <v>46093</v>
      </c>
      <c r="U93" s="14">
        <v>46094</v>
      </c>
      <c r="V93" s="14">
        <v>46097</v>
      </c>
      <c r="W93" s="14">
        <v>46099</v>
      </c>
      <c r="X93" s="14">
        <v>46104</v>
      </c>
      <c r="Y93" s="14">
        <v>46105</v>
      </c>
      <c r="Z93" s="14">
        <v>46106</v>
      </c>
      <c r="AA93" s="14">
        <v>46109</v>
      </c>
      <c r="AB93" s="14">
        <v>46112</v>
      </c>
      <c r="AC93" s="14">
        <v>46116</v>
      </c>
      <c r="AD93" s="14">
        <v>46118</v>
      </c>
      <c r="AE93" s="14">
        <v>46122</v>
      </c>
      <c r="CI93" s="4" t="str">
        <f t="shared" si="2"/>
        <v>1</v>
      </c>
      <c r="CJ93" s="13">
        <f>IF(OR(P93="",CI93=""),"",P93/CI93)</f>
        <v>3200</v>
      </c>
      <c r="CK93" s="5">
        <f t="shared" ca="1" si="3"/>
        <v>46173</v>
      </c>
      <c r="CL93" s="13">
        <f ca="1">IF(OR(I93="",J93="",CJ93="",CK93=""),"",
IF(AND(J93&gt;=EOMONTH(CK93,-1)+1,I93&lt;=EOMONTH(CK93,0)),
CJ93*
(MAX(0,MIN(J93,EOMONTH(CK93,0)) - MAX(I93,EOMONTH(CK93,-1)+1) + 1)
/
DAY(EOMONTH(CK93,0))
),
0))</f>
        <v>0</v>
      </c>
    </row>
    <row r="94" spans="1:90" x14ac:dyDescent="0.2">
      <c r="A94" s="58">
        <v>112</v>
      </c>
      <c r="B94" s="58" t="s">
        <v>257</v>
      </c>
      <c r="C94" s="6">
        <v>45329</v>
      </c>
      <c r="D94" s="3">
        <f ca="1">DATEDIF(C94,TODAY(),"Y") + DATEDIF(C94,TODAY(),"YM")/10</f>
        <v>2.2999999999999998</v>
      </c>
      <c r="E94" s="58" t="s">
        <v>258</v>
      </c>
      <c r="F94" s="3">
        <v>8017200940</v>
      </c>
      <c r="G94" s="7">
        <v>46095</v>
      </c>
      <c r="H94" s="7" t="str">
        <f ca="1">DATEDIF(G94,TODAY(),"M") &amp; " Months"</f>
        <v>2 Months</v>
      </c>
      <c r="I94" s="4">
        <v>46117</v>
      </c>
      <c r="J94" s="4">
        <f>EDATE(I94,3)</f>
        <v>46208</v>
      </c>
      <c r="K94" s="8">
        <v>36</v>
      </c>
      <c r="L94" s="8">
        <v>108</v>
      </c>
      <c r="M94" s="3">
        <f>I94+L94</f>
        <v>46225</v>
      </c>
      <c r="N94" s="9">
        <f ca="1">L94-(TODAY()-I94)</f>
        <v>52</v>
      </c>
      <c r="O94" s="8" t="str">
        <f ca="1">IF(J94="","",
IF(TODAY()&lt;=J94,"Active",
IF(N94&gt;0,"Grace",
IF(N94&gt;-30,"Inactive","Freeze"))))</f>
        <v>Active</v>
      </c>
      <c r="P94" s="10">
        <v>8640</v>
      </c>
      <c r="Q94" s="11">
        <f>COUNTA(T94:CA94)</f>
        <v>12</v>
      </c>
      <c r="R94" s="3">
        <f>K94-Q94</f>
        <v>24</v>
      </c>
      <c r="S94" s="8" t="str">
        <f>IF(Q94&gt;=K94,"Complete","Incomplete")</f>
        <v>Incomplete</v>
      </c>
      <c r="T94" s="14">
        <v>46117</v>
      </c>
      <c r="U94" s="14">
        <v>46118</v>
      </c>
      <c r="V94" s="14">
        <v>46119</v>
      </c>
      <c r="W94" s="14">
        <v>46123</v>
      </c>
      <c r="X94" s="14">
        <v>46127</v>
      </c>
      <c r="Y94" s="14">
        <v>46129</v>
      </c>
      <c r="Z94" s="14">
        <v>46130</v>
      </c>
      <c r="AA94" s="14">
        <v>46132</v>
      </c>
      <c r="AB94" s="14">
        <v>46133</v>
      </c>
      <c r="AC94" s="14">
        <v>46135</v>
      </c>
      <c r="AD94" s="14">
        <v>46140</v>
      </c>
      <c r="AE94" s="14">
        <v>46141</v>
      </c>
      <c r="AF94" s="14"/>
      <c r="AG94" s="14"/>
      <c r="AH94" s="14"/>
      <c r="AI94" s="14"/>
      <c r="CI94" s="4" t="str">
        <f t="shared" si="2"/>
        <v>3</v>
      </c>
      <c r="CJ94" s="13">
        <f>IF(OR(P94="",CI94=""),"",P94/CI94)</f>
        <v>2880</v>
      </c>
      <c r="CK94" s="5">
        <f t="shared" ca="1" si="3"/>
        <v>46173</v>
      </c>
      <c r="CL94" s="13">
        <f ca="1">IF(OR(I94="",J94="",CJ94="",CK94=""),"",
IF(AND(J94&gt;=EOMONTH(CK94,-1)+1,I94&lt;=EOMONTH(CK94,0)),
CJ94*
(MAX(0,MIN(J94,EOMONTH(CK94,0)) - MAX(I94,EOMONTH(CK94,-1)+1) + 1)
/
DAY(EOMONTH(CK94,0))
),
0))</f>
        <v>2880</v>
      </c>
    </row>
    <row r="95" spans="1:90" x14ac:dyDescent="0.2">
      <c r="A95" s="58">
        <v>113</v>
      </c>
      <c r="B95" s="58" t="s">
        <v>259</v>
      </c>
      <c r="C95" s="6">
        <v>44012</v>
      </c>
      <c r="D95" s="3">
        <f ca="1">DATEDIF(C95,TODAY(),"Y") + DATEDIF(C95,TODAY(),"YM")/10</f>
        <v>6.1</v>
      </c>
      <c r="E95" s="58" t="s">
        <v>131</v>
      </c>
      <c r="F95" s="3">
        <v>9527190817</v>
      </c>
      <c r="G95" s="7">
        <v>46095</v>
      </c>
      <c r="H95" s="7" t="str">
        <f ca="1">DATEDIF(G95,TODAY(),"M") &amp; " Months"</f>
        <v>2 Months</v>
      </c>
      <c r="I95" s="4">
        <v>46123</v>
      </c>
      <c r="J95" s="4">
        <f>EDATE(I95,1)</f>
        <v>46153</v>
      </c>
      <c r="K95" s="8">
        <v>8</v>
      </c>
      <c r="L95" s="8">
        <v>34</v>
      </c>
      <c r="M95" s="3">
        <f>I95+L95</f>
        <v>46157</v>
      </c>
      <c r="N95" s="9">
        <f ca="1">L95-(TODAY()-I95)</f>
        <v>-16</v>
      </c>
      <c r="O95" s="8" t="str">
        <f ca="1">IF(J95="","",
IF(TODAY()&lt;=J95,"Active",
IF(N95&gt;0,"Grace",
IF(N95&gt;-30,"Inactive","Freeze"))))</f>
        <v>Inactive</v>
      </c>
      <c r="P95" s="10">
        <v>2600</v>
      </c>
      <c r="Q95" s="11">
        <f>COUNTA(T95:CA95)</f>
        <v>9</v>
      </c>
      <c r="R95" s="3">
        <f>K95-Q95</f>
        <v>-1</v>
      </c>
      <c r="S95" s="8" t="str">
        <f>IF(Q95&gt;=K95,"Complete","Incomplete")</f>
        <v>Complete</v>
      </c>
      <c r="T95" s="14">
        <v>46123</v>
      </c>
      <c r="U95" s="14">
        <v>46124</v>
      </c>
      <c r="V95" s="14">
        <v>46130</v>
      </c>
      <c r="W95" s="14">
        <v>46131</v>
      </c>
      <c r="X95" s="14">
        <v>46137</v>
      </c>
      <c r="Y95" s="14">
        <v>46138</v>
      </c>
      <c r="Z95" s="14">
        <v>46144</v>
      </c>
      <c r="AA95" s="14">
        <v>46145</v>
      </c>
      <c r="AB95" s="14">
        <v>46152</v>
      </c>
      <c r="AC95" s="14"/>
      <c r="CI95" s="4" t="str">
        <f t="shared" si="2"/>
        <v>1</v>
      </c>
      <c r="CJ95" s="13">
        <f>IF(OR(P95="",CI95=""),"",P95/CI95)</f>
        <v>2600</v>
      </c>
      <c r="CK95" s="5">
        <f t="shared" ca="1" si="3"/>
        <v>46173</v>
      </c>
      <c r="CL95" s="13">
        <f ca="1">IF(OR(I95="",J95="",CJ95="",CK95=""),"",
IF(AND(J95&gt;=EOMONTH(CK95,-1)+1,I95&lt;=EOMONTH(CK95,0)),
CJ95*
(MAX(0,MIN(J95,EOMONTH(CK95,0)) - MAX(I95,EOMONTH(CK95,-1)+1) + 1)
/
DAY(EOMONTH(CK95,0))
),
0))</f>
        <v>922.58064516129036</v>
      </c>
    </row>
    <row r="96" spans="1:90" x14ac:dyDescent="0.2">
      <c r="A96" s="58">
        <v>114</v>
      </c>
      <c r="B96" s="58" t="s">
        <v>260</v>
      </c>
      <c r="C96" s="6">
        <v>42847</v>
      </c>
      <c r="D96" s="3">
        <f ca="1">DATEDIF(C96,TODAY(),"Y") + DATEDIF(C96,TODAY(),"YM")/10</f>
        <v>9.1</v>
      </c>
      <c r="E96" s="58" t="s">
        <v>261</v>
      </c>
      <c r="F96" s="3">
        <v>9422329888</v>
      </c>
      <c r="G96" s="7">
        <v>46095</v>
      </c>
      <c r="H96" s="7" t="str">
        <f ca="1">DATEDIF(G96,TODAY(),"M") &amp; " Months"</f>
        <v>2 Months</v>
      </c>
      <c r="I96" s="4">
        <v>46095</v>
      </c>
      <c r="J96" s="4">
        <f>EDATE(I96,1)</f>
        <v>46126</v>
      </c>
      <c r="K96" s="8">
        <v>12</v>
      </c>
      <c r="L96" s="8">
        <v>36</v>
      </c>
      <c r="M96" s="3">
        <f>I96+L96</f>
        <v>46131</v>
      </c>
      <c r="N96" s="9">
        <f ca="1">L96-(TODAY()-I96)</f>
        <v>-42</v>
      </c>
      <c r="O96" s="8" t="str">
        <f ca="1">IF(J96="","",
IF(TODAY()&lt;=J96,"Active",
IF(N96&gt;0,"Grace",
IF(N96&gt;-30,"Inactive","Freeze"))))</f>
        <v>Freeze</v>
      </c>
      <c r="P96" s="10">
        <v>3200</v>
      </c>
      <c r="Q96" s="11">
        <f>COUNTA(T96:CA96)</f>
        <v>12</v>
      </c>
      <c r="R96" s="3">
        <f>K96-Q96</f>
        <v>0</v>
      </c>
      <c r="S96" s="8" t="str">
        <f>IF(Q96&gt;=K96,"Complete","Incomplete")</f>
        <v>Complete</v>
      </c>
      <c r="T96" s="14">
        <v>46095</v>
      </c>
      <c r="U96" s="14">
        <v>46099</v>
      </c>
      <c r="V96" s="14">
        <v>46104</v>
      </c>
      <c r="W96" s="14">
        <v>46105</v>
      </c>
      <c r="X96" s="14">
        <v>46109</v>
      </c>
      <c r="Y96" s="14">
        <v>46113</v>
      </c>
      <c r="Z96" s="14">
        <v>46116</v>
      </c>
      <c r="AA96" s="14">
        <v>46125</v>
      </c>
      <c r="AB96" s="14">
        <v>46127</v>
      </c>
      <c r="AC96" s="14">
        <v>46130</v>
      </c>
      <c r="AD96" s="14">
        <v>46132</v>
      </c>
      <c r="AE96" s="14">
        <v>46133</v>
      </c>
      <c r="CD96" s="20"/>
      <c r="CI96" s="4" t="str">
        <f t="shared" si="2"/>
        <v>1</v>
      </c>
      <c r="CJ96" s="13">
        <f>IF(OR(P96="",CI96=""),"",P96/CI96)</f>
        <v>3200</v>
      </c>
      <c r="CK96" s="5">
        <f t="shared" ca="1" si="3"/>
        <v>46173</v>
      </c>
      <c r="CL96" s="13">
        <f ca="1">IF(OR(I96="",J96="",CJ96="",CK96=""),"",
IF(AND(J96&gt;=EOMONTH(CK96,-1)+1,I96&lt;=EOMONTH(CK96,0)),
CJ96*
(MAX(0,MIN(J96,EOMONTH(CK96,0)) - MAX(I96,EOMONTH(CK96,-1)+1) + 1)
/
DAY(EOMONTH(CK96,0))
),
0))</f>
        <v>0</v>
      </c>
    </row>
    <row r="97" spans="1:90" x14ac:dyDescent="0.2">
      <c r="A97" s="58">
        <v>115</v>
      </c>
      <c r="B97" s="58" t="s">
        <v>262</v>
      </c>
      <c r="C97" s="6">
        <v>44511</v>
      </c>
      <c r="D97" s="3">
        <f ca="1">DATEDIF(C97,TODAY(),"Y") + DATEDIF(C97,TODAY(),"YM")/10</f>
        <v>4.5999999999999996</v>
      </c>
      <c r="E97" s="58" t="s">
        <v>263</v>
      </c>
      <c r="F97" s="3">
        <v>8999288810</v>
      </c>
      <c r="G97" s="7">
        <v>46098</v>
      </c>
      <c r="H97" s="7" t="str">
        <f ca="1">DATEDIF(G97,TODAY(),"M") &amp; " Months"</f>
        <v>2 Months</v>
      </c>
      <c r="I97" s="4">
        <v>46098</v>
      </c>
      <c r="J97" s="4">
        <f>EDATE(I97,1)</f>
        <v>46129</v>
      </c>
      <c r="K97" s="8">
        <v>20</v>
      </c>
      <c r="L97" s="8">
        <v>38</v>
      </c>
      <c r="M97" s="3">
        <f>I97+L97</f>
        <v>46136</v>
      </c>
      <c r="N97" s="9">
        <f ca="1">L97-(TODAY()-I97)</f>
        <v>-37</v>
      </c>
      <c r="O97" s="8" t="str">
        <f ca="1">IF(J97="","",
IF(TODAY()&lt;=J97,"Active",
IF(N97&gt;0,"Grace",
IF(N97&gt;-30,"Inactive","Freeze"))))</f>
        <v>Freeze</v>
      </c>
      <c r="P97" s="10">
        <v>4400</v>
      </c>
      <c r="Q97" s="11">
        <f>COUNTA(T97:CA97)</f>
        <v>17</v>
      </c>
      <c r="R97" s="3">
        <f>K97-Q97</f>
        <v>3</v>
      </c>
      <c r="S97" s="8" t="str">
        <f>IF(Q97&gt;=K97,"Complete","Incomplete")</f>
        <v>Incomplete</v>
      </c>
      <c r="T97" s="14">
        <v>46098</v>
      </c>
      <c r="U97" s="14">
        <v>46099</v>
      </c>
      <c r="V97" s="14">
        <v>46104</v>
      </c>
      <c r="W97" s="14">
        <v>46105</v>
      </c>
      <c r="X97" s="14">
        <v>46106</v>
      </c>
      <c r="Y97" s="14">
        <v>46107</v>
      </c>
      <c r="Z97" s="14">
        <v>46108</v>
      </c>
      <c r="AA97" s="14">
        <v>46113</v>
      </c>
      <c r="AB97" s="14">
        <v>46115</v>
      </c>
      <c r="AC97" s="14">
        <v>46116</v>
      </c>
      <c r="AD97" s="14">
        <v>46121</v>
      </c>
      <c r="AE97" s="14">
        <v>46122</v>
      </c>
      <c r="AF97" s="14">
        <v>46125</v>
      </c>
      <c r="AG97" s="14">
        <v>46127</v>
      </c>
      <c r="AH97" s="14">
        <v>46132</v>
      </c>
      <c r="AI97" s="14">
        <v>46135</v>
      </c>
      <c r="AJ97" s="14">
        <v>46136</v>
      </c>
      <c r="AK97" s="14"/>
      <c r="CI97" s="4" t="str">
        <f t="shared" si="2"/>
        <v>1</v>
      </c>
      <c r="CJ97" s="13">
        <f>IF(OR(P97="",CI97=""),"",P97/CI97)</f>
        <v>4400</v>
      </c>
      <c r="CK97" s="5">
        <f t="shared" ca="1" si="3"/>
        <v>46173</v>
      </c>
      <c r="CL97" s="13">
        <f ca="1">IF(OR(I97="",J97="",CJ97="",CK97=""),"",
IF(AND(J97&gt;=EOMONTH(CK97,-1)+1,I97&lt;=EOMONTH(CK97,0)),
CJ97*
(MAX(0,MIN(J97,EOMONTH(CK97,0)) - MAX(I97,EOMONTH(CK97,-1)+1) + 1)
/
DAY(EOMONTH(CK97,0))
),
0))</f>
        <v>0</v>
      </c>
    </row>
    <row r="98" spans="1:90" x14ac:dyDescent="0.2">
      <c r="A98" s="58">
        <v>116</v>
      </c>
      <c r="B98" s="58" t="s">
        <v>264</v>
      </c>
      <c r="C98" s="6">
        <v>45054</v>
      </c>
      <c r="D98" s="3">
        <f ca="1">DATEDIF(C98,TODAY(),"Y") + DATEDIF(C98,TODAY(),"YM")/10</f>
        <v>3</v>
      </c>
      <c r="E98" s="58" t="s">
        <v>265</v>
      </c>
      <c r="F98" s="3">
        <v>7798987617</v>
      </c>
      <c r="G98" s="7">
        <v>46098</v>
      </c>
      <c r="H98" s="7" t="str">
        <f ca="1">DATEDIF(G98,TODAY(),"M") &amp; " Months"</f>
        <v>2 Months</v>
      </c>
      <c r="I98" s="4">
        <v>46160</v>
      </c>
      <c r="J98" s="4">
        <f>EDATE(I98,3)</f>
        <v>46252</v>
      </c>
      <c r="K98" s="8">
        <v>48</v>
      </c>
      <c r="L98" s="8">
        <v>108</v>
      </c>
      <c r="M98" s="3">
        <f>I98+L98</f>
        <v>46268</v>
      </c>
      <c r="N98" s="9">
        <f ca="1">L98-(TODAY()-I98)</f>
        <v>95</v>
      </c>
      <c r="O98" s="8" t="str">
        <f ca="1">IF(J98="","",
IF(TODAY()&lt;=J98,"Active",
IF(N98&gt;0,"Grace",
IF(N98&gt;-30,"Inactive","Freeze"))))</f>
        <v>Active</v>
      </c>
      <c r="P98" s="10">
        <v>10000</v>
      </c>
      <c r="Q98" s="11">
        <f>COUNTA(T98:CA98)</f>
        <v>4</v>
      </c>
      <c r="R98" s="3">
        <f>K98-Q98</f>
        <v>44</v>
      </c>
      <c r="S98" s="8" t="str">
        <f>IF(Q98&gt;=K98,"Complete","Incomplete")</f>
        <v>Incomplete</v>
      </c>
      <c r="T98" s="14">
        <v>46161</v>
      </c>
      <c r="U98" s="14">
        <v>46163</v>
      </c>
      <c r="V98" s="14">
        <v>46167</v>
      </c>
      <c r="W98" s="14">
        <v>46169</v>
      </c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CI98" s="4" t="str">
        <f t="shared" si="2"/>
        <v>3</v>
      </c>
      <c r="CJ98" s="13">
        <f>IF(OR(P98="",CI98=""),"",P98/CI98)</f>
        <v>3333.3333333333335</v>
      </c>
      <c r="CK98" s="5">
        <f t="shared" ca="1" si="3"/>
        <v>46173</v>
      </c>
      <c r="CL98" s="13">
        <f ca="1">IF(OR(I98="",J98="",CJ98="",CK98=""),"",
IF(AND(J98&gt;=EOMONTH(CK98,-1)+1,I98&lt;=EOMONTH(CK98,0)),
CJ98*
(MAX(0,MIN(J98,EOMONTH(CK98,0)) - MAX(I98,EOMONTH(CK98,-1)+1) + 1)
/
DAY(EOMONTH(CK98,0))
),
0))</f>
        <v>1505.3763440860216</v>
      </c>
    </row>
    <row r="99" spans="1:90" x14ac:dyDescent="0.2">
      <c r="A99" s="58">
        <v>117</v>
      </c>
      <c r="B99" s="58" t="s">
        <v>266</v>
      </c>
      <c r="C99" s="6">
        <v>42957</v>
      </c>
      <c r="D99" s="3">
        <f ca="1">DATEDIF(C99,TODAY(),"Y") + DATEDIF(C99,TODAY(),"YM")/10</f>
        <v>8.9</v>
      </c>
      <c r="E99" s="58" t="s">
        <v>267</v>
      </c>
      <c r="F99" s="3">
        <v>9822848487</v>
      </c>
      <c r="G99" s="7">
        <v>46103</v>
      </c>
      <c r="H99" s="7" t="str">
        <f ca="1">DATEDIF(G99,TODAY(),"M") &amp; " Months"</f>
        <v>2 Months</v>
      </c>
      <c r="I99" s="4">
        <v>46106</v>
      </c>
      <c r="J99" s="4">
        <f>EDATE(I99,1)</f>
        <v>46137</v>
      </c>
      <c r="K99" s="8">
        <v>8</v>
      </c>
      <c r="L99" s="8">
        <v>34</v>
      </c>
      <c r="M99" s="3">
        <f>I99+L99</f>
        <v>46140</v>
      </c>
      <c r="N99" s="9">
        <f ca="1">L99-(TODAY()-I99)</f>
        <v>-33</v>
      </c>
      <c r="O99" s="8" t="str">
        <f ca="1">IF(J99="","",
IF(TODAY()&lt;=J99,"Active",
IF(N99&gt;0,"Grace",
IF(N99&gt;-30,"Inactive","Freeze"))))</f>
        <v>Freeze</v>
      </c>
      <c r="P99" s="10">
        <v>2600</v>
      </c>
      <c r="Q99" s="11">
        <f>COUNTA(T99:CA99)</f>
        <v>7</v>
      </c>
      <c r="R99" s="3">
        <f>K99-Q99</f>
        <v>1</v>
      </c>
      <c r="S99" s="8" t="str">
        <f>IF(Q99&gt;=K99,"Complete","Incomplete")</f>
        <v>Incomplete</v>
      </c>
      <c r="T99" s="14">
        <v>46109</v>
      </c>
      <c r="U99" s="14">
        <v>46110</v>
      </c>
      <c r="V99" s="14">
        <v>46113</v>
      </c>
      <c r="W99" s="14">
        <v>46116</v>
      </c>
      <c r="X99" s="14">
        <v>46123</v>
      </c>
      <c r="Y99" s="14">
        <v>46124</v>
      </c>
      <c r="Z99" s="14">
        <v>46131</v>
      </c>
      <c r="CI99" s="4" t="str">
        <f t="shared" si="2"/>
        <v>1</v>
      </c>
      <c r="CJ99" s="13">
        <f>IF(OR(P99="",CI99=""),"",P99/CI99)</f>
        <v>2600</v>
      </c>
      <c r="CK99" s="5">
        <f t="shared" ca="1" si="3"/>
        <v>46173</v>
      </c>
      <c r="CL99" s="13">
        <f ca="1">IF(OR(I99="",J99="",CJ99="",CK99=""),"",
IF(AND(J99&gt;=EOMONTH(CK99,-1)+1,I99&lt;=EOMONTH(CK99,0)),
CJ99*
(MAX(0,MIN(J99,EOMONTH(CK99,0)) - MAX(I99,EOMONTH(CK99,-1)+1) + 1)
/
DAY(EOMONTH(CK99,0))
),
0))</f>
        <v>0</v>
      </c>
    </row>
    <row r="100" spans="1:90" x14ac:dyDescent="0.2">
      <c r="A100" s="58">
        <v>118</v>
      </c>
      <c r="B100" s="58" t="s">
        <v>268</v>
      </c>
      <c r="C100" s="6">
        <v>44502</v>
      </c>
      <c r="D100" s="3">
        <f ca="1">DATEDIF(C100,TODAY(),"Y") + DATEDIF(C100,TODAY(),"YM")/10</f>
        <v>4.5999999999999996</v>
      </c>
      <c r="E100" s="58" t="s">
        <v>269</v>
      </c>
      <c r="F100" s="3">
        <v>7378660748</v>
      </c>
      <c r="G100" s="7">
        <v>46105</v>
      </c>
      <c r="H100" s="7" t="str">
        <f ca="1">DATEDIF(G100,TODAY(),"M") &amp; " Months"</f>
        <v>2 Months</v>
      </c>
      <c r="I100" s="4">
        <v>46105</v>
      </c>
      <c r="J100" s="4">
        <f>EDATE(I100,1)</f>
        <v>46136</v>
      </c>
      <c r="K100" s="8">
        <v>12</v>
      </c>
      <c r="L100" s="8">
        <v>36</v>
      </c>
      <c r="M100" s="3">
        <f>I100+L100</f>
        <v>46141</v>
      </c>
      <c r="N100" s="9">
        <f ca="1">L100-(TODAY()-I100)</f>
        <v>-32</v>
      </c>
      <c r="O100" s="8" t="str">
        <f ca="1">IF(J100="","",
IF(TODAY()&lt;=J100,"Active",
IF(N100&gt;0,"Grace",
IF(N100&gt;-30,"Inactive","Freeze"))))</f>
        <v>Freeze</v>
      </c>
      <c r="P100" s="10">
        <v>3200</v>
      </c>
      <c r="Q100" s="11">
        <f>COUNTA(T100:CA100)</f>
        <v>7</v>
      </c>
      <c r="R100" s="3">
        <f>K100-Q100</f>
        <v>5</v>
      </c>
      <c r="S100" s="8" t="str">
        <f>IF(Q100&gt;=K100,"Complete","Incomplete")</f>
        <v>Incomplete</v>
      </c>
      <c r="T100" s="14">
        <v>46105</v>
      </c>
      <c r="U100" s="14">
        <v>46106</v>
      </c>
      <c r="V100" s="14">
        <v>46112</v>
      </c>
      <c r="W100" s="14">
        <v>46119</v>
      </c>
      <c r="X100" s="14">
        <v>46133</v>
      </c>
      <c r="Y100" s="14">
        <v>46134</v>
      </c>
      <c r="Z100" s="14">
        <v>46135</v>
      </c>
      <c r="CI100" s="4" t="str">
        <f t="shared" si="2"/>
        <v>1</v>
      </c>
      <c r="CJ100" s="13">
        <f>IF(OR(P100="",CI100=""),"",P100/CI100)</f>
        <v>3200</v>
      </c>
      <c r="CK100" s="5">
        <f t="shared" ca="1" si="3"/>
        <v>46173</v>
      </c>
      <c r="CL100" s="13">
        <f ca="1">IF(OR(I100="",J100="",CJ100="",CK100=""),"",
IF(AND(J100&gt;=EOMONTH(CK100,-1)+1,I100&lt;=EOMONTH(CK100,0)),
CJ100*
(MAX(0,MIN(J100,EOMONTH(CK100,0)) - MAX(I100,EOMONTH(CK100,-1)+1) + 1)
/
DAY(EOMONTH(CK100,0))
),
0))</f>
        <v>0</v>
      </c>
    </row>
    <row r="101" spans="1:90" x14ac:dyDescent="0.2">
      <c r="A101" s="58">
        <v>119</v>
      </c>
      <c r="B101" s="58" t="s">
        <v>270</v>
      </c>
      <c r="C101" s="6">
        <v>45261</v>
      </c>
      <c r="D101" s="3">
        <f ca="1">DATEDIF(C101,TODAY(),"Y") + DATEDIF(C101,TODAY(),"YM")/10</f>
        <v>2.5</v>
      </c>
      <c r="E101" s="58" t="s">
        <v>271</v>
      </c>
      <c r="F101" s="3">
        <v>9993736338</v>
      </c>
      <c r="G101" s="7">
        <v>46106</v>
      </c>
      <c r="H101" s="7" t="str">
        <f ca="1">DATEDIF(G101,TODAY(),"M") &amp; " Months"</f>
        <v>2 Months</v>
      </c>
      <c r="I101" s="4">
        <v>46160</v>
      </c>
      <c r="J101" s="4">
        <f>EDATE(I101,1)</f>
        <v>46191</v>
      </c>
      <c r="K101" s="8">
        <v>12</v>
      </c>
      <c r="L101" s="8">
        <v>36</v>
      </c>
      <c r="M101" s="3">
        <f>I101+L101</f>
        <v>46196</v>
      </c>
      <c r="N101" s="9">
        <f ca="1">L101-(TODAY()-I101)</f>
        <v>23</v>
      </c>
      <c r="O101" s="8" t="str">
        <f ca="1">IF(J101="","",
IF(TODAY()&lt;=J101,"Active",
IF(N101&gt;0,"Grace",
IF(N101&gt;-30,"Inactive","Freeze"))))</f>
        <v>Active</v>
      </c>
      <c r="P101" s="10">
        <v>3200</v>
      </c>
      <c r="Q101" s="11">
        <f>COUNTA(T101:CA101)</f>
        <v>5</v>
      </c>
      <c r="R101" s="3">
        <f>K101-Q101</f>
        <v>7</v>
      </c>
      <c r="S101" s="8" t="str">
        <f>IF(Q101&gt;=K101,"Complete","Incomplete")</f>
        <v>Incomplete</v>
      </c>
      <c r="T101" s="14">
        <v>46160</v>
      </c>
      <c r="U101" s="14">
        <v>46164</v>
      </c>
      <c r="V101" s="14">
        <v>46167</v>
      </c>
      <c r="W101" s="14">
        <v>46169</v>
      </c>
      <c r="X101" s="14">
        <v>46170</v>
      </c>
      <c r="Y101" s="14"/>
      <c r="Z101" s="14"/>
      <c r="AA101" s="14"/>
      <c r="AB101" s="14"/>
      <c r="AC101" s="14"/>
      <c r="AD101" s="14"/>
      <c r="AE101" s="14"/>
      <c r="AF101" s="14"/>
      <c r="CI101" s="4" t="str">
        <f t="shared" si="2"/>
        <v>1</v>
      </c>
      <c r="CJ101" s="13">
        <f>IF(OR(P101="",CI101=""),"",P101/CI101)</f>
        <v>3200</v>
      </c>
      <c r="CK101" s="5">
        <f t="shared" ca="1" si="3"/>
        <v>46173</v>
      </c>
      <c r="CL101" s="13">
        <f ca="1">IF(OR(I101="",J101="",CJ101="",CK101=""),"",
IF(AND(J101&gt;=EOMONTH(CK101,-1)+1,I101&lt;=EOMONTH(CK101,0)),
CJ101*
(MAX(0,MIN(J101,EOMONTH(CK101,0)) - MAX(I101,EOMONTH(CK101,-1)+1) + 1)
/
DAY(EOMONTH(CK101,0))
),
0))</f>
        <v>1445.1612903225805</v>
      </c>
    </row>
    <row r="102" spans="1:90" x14ac:dyDescent="0.2">
      <c r="A102" s="58">
        <v>120</v>
      </c>
      <c r="B102" s="58" t="s">
        <v>272</v>
      </c>
      <c r="C102" s="6">
        <v>43473</v>
      </c>
      <c r="D102" s="3">
        <f ca="1">DATEDIF(C102,TODAY(),"Y") + DATEDIF(C102,TODAY(),"YM")/10</f>
        <v>7.4</v>
      </c>
      <c r="E102" s="58" t="s">
        <v>273</v>
      </c>
      <c r="F102" s="3">
        <v>9850882321</v>
      </c>
      <c r="G102" s="7">
        <v>46109</v>
      </c>
      <c r="H102" s="7" t="str">
        <f ca="1">DATEDIF(G102,TODAY(),"M") &amp; " Months"</f>
        <v>2 Months</v>
      </c>
      <c r="I102" s="4">
        <v>46109</v>
      </c>
      <c r="J102" s="4">
        <f>EDATE(I102,1)</f>
        <v>46140</v>
      </c>
      <c r="K102" s="8">
        <v>12</v>
      </c>
      <c r="L102" s="8">
        <v>36</v>
      </c>
      <c r="M102" s="3">
        <f>I102+L102</f>
        <v>46145</v>
      </c>
      <c r="N102" s="9">
        <f ca="1">L102-(TODAY()-I102)</f>
        <v>-28</v>
      </c>
      <c r="O102" s="8" t="str">
        <f ca="1">IF(J102="","",
IF(TODAY()&lt;=J102,"Active",
IF(N102&gt;0,"Grace",
IF(N102&gt;-30,"Inactive","Freeze"))))</f>
        <v>Inactive</v>
      </c>
      <c r="P102" s="10">
        <v>3200</v>
      </c>
      <c r="Q102" s="11">
        <f>COUNTA(T102:CA102)</f>
        <v>5</v>
      </c>
      <c r="R102" s="3">
        <f>K102-Q102</f>
        <v>7</v>
      </c>
      <c r="S102" s="8" t="str">
        <f>IF(Q102&gt;=K102,"Complete","Incomplete")</f>
        <v>Incomplete</v>
      </c>
      <c r="T102" s="14">
        <v>46109</v>
      </c>
      <c r="U102" s="14">
        <v>46111</v>
      </c>
      <c r="V102" s="14">
        <v>46116</v>
      </c>
      <c r="W102" s="14">
        <v>46118</v>
      </c>
      <c r="X102" s="14">
        <v>46122</v>
      </c>
      <c r="CI102" s="4" t="str">
        <f t="shared" si="2"/>
        <v>1</v>
      </c>
      <c r="CJ102" s="13">
        <f>IF(OR(P102="",CI102=""),"",P102/CI102)</f>
        <v>3200</v>
      </c>
      <c r="CK102" s="5">
        <f t="shared" ca="1" si="3"/>
        <v>46173</v>
      </c>
      <c r="CL102" s="13">
        <f ca="1">IF(OR(I102="",J102="",CJ102="",CK102=""),"",
IF(AND(J102&gt;=EOMONTH(CK102,-1)+1,I102&lt;=EOMONTH(CK102,0)),
CJ102*
(MAX(0,MIN(J102,EOMONTH(CK102,0)) - MAX(I102,EOMONTH(CK102,-1)+1) + 1)
/
DAY(EOMONTH(CK102,0))
),
0))</f>
        <v>0</v>
      </c>
    </row>
    <row r="103" spans="1:90" x14ac:dyDescent="0.2">
      <c r="A103" s="58">
        <v>121</v>
      </c>
      <c r="B103" s="58" t="s">
        <v>274</v>
      </c>
      <c r="C103" s="6">
        <v>44990</v>
      </c>
      <c r="D103" s="3">
        <f ca="1">DATEDIF(C103,TODAY(),"Y") + DATEDIF(C103,TODAY(),"YM")/10</f>
        <v>3.2</v>
      </c>
      <c r="E103" s="58" t="s">
        <v>275</v>
      </c>
      <c r="F103" s="3">
        <v>8806379900</v>
      </c>
      <c r="G103" s="7">
        <v>46110</v>
      </c>
      <c r="H103" s="7" t="str">
        <f ca="1">DATEDIF(G103,TODAY(),"M") &amp; " Months"</f>
        <v>2 Months</v>
      </c>
      <c r="I103" s="4">
        <v>46110</v>
      </c>
      <c r="J103" s="4">
        <f>EDATE(I103,1)</f>
        <v>46141</v>
      </c>
      <c r="K103" s="8">
        <v>9</v>
      </c>
      <c r="L103" s="8">
        <v>34</v>
      </c>
      <c r="M103" s="3">
        <f>I103+L103</f>
        <v>46144</v>
      </c>
      <c r="N103" s="9">
        <f ca="1">L103-(TODAY()-I103)</f>
        <v>-29</v>
      </c>
      <c r="O103" s="8" t="str">
        <f ca="1">IF(J103="","",
IF(TODAY()&lt;=J103,"Active",
IF(N103&gt;0,"Grace",
IF(N103&gt;-30,"Inactive","Freeze"))))</f>
        <v>Inactive</v>
      </c>
      <c r="P103" s="10">
        <v>2400</v>
      </c>
      <c r="Q103" s="11">
        <f>COUNTA(T103:CA103)</f>
        <v>5</v>
      </c>
      <c r="R103" s="3">
        <f>K103-Q103</f>
        <v>4</v>
      </c>
      <c r="S103" s="8" t="str">
        <f>IF(Q103&gt;=K103,"Complete","Incomplete")</f>
        <v>Incomplete</v>
      </c>
      <c r="T103" s="14">
        <v>46110</v>
      </c>
      <c r="U103" s="14">
        <v>46112</v>
      </c>
      <c r="V103" s="14">
        <v>46116</v>
      </c>
      <c r="W103" s="14"/>
      <c r="X103" s="14">
        <v>46118</v>
      </c>
      <c r="Y103" s="14">
        <v>46119</v>
      </c>
      <c r="CI103" s="4" t="str">
        <f t="shared" si="2"/>
        <v>1</v>
      </c>
      <c r="CJ103" s="13">
        <f>IF(OR(P103="",CI103=""),"",P103/CI103)</f>
        <v>2400</v>
      </c>
      <c r="CK103" s="5">
        <f t="shared" ca="1" si="3"/>
        <v>46173</v>
      </c>
      <c r="CL103" s="13">
        <f ca="1">IF(OR(I103="",J103="",CJ103="",CK103=""),"",
IF(AND(J103&gt;=EOMONTH(CK103,-1)+1,I103&lt;=EOMONTH(CK103,0)),
CJ103*
(MAX(0,MIN(J103,EOMONTH(CK103,0)) - MAX(I103,EOMONTH(CK103,-1)+1) + 1)
/
DAY(EOMONTH(CK103,0))
),
0))</f>
        <v>0</v>
      </c>
    </row>
    <row r="104" spans="1:90" x14ac:dyDescent="0.2">
      <c r="A104" s="58">
        <v>122</v>
      </c>
      <c r="B104" s="58" t="s">
        <v>276</v>
      </c>
      <c r="C104" s="6">
        <v>44138</v>
      </c>
      <c r="D104" s="3">
        <f ca="1">DATEDIF(C104,TODAY(),"Y") + DATEDIF(C104,TODAY(),"YM")/10</f>
        <v>5.6</v>
      </c>
      <c r="E104" s="58" t="s">
        <v>277</v>
      </c>
      <c r="F104" s="3">
        <v>9833449829</v>
      </c>
      <c r="G104" s="7">
        <v>46115</v>
      </c>
      <c r="H104" s="7" t="str">
        <f ca="1">DATEDIF(G104,TODAY(),"M") &amp; " Months"</f>
        <v>1 Months</v>
      </c>
      <c r="I104" s="4">
        <v>46115</v>
      </c>
      <c r="J104" s="4">
        <f>EDATE(I104,1)</f>
        <v>46145</v>
      </c>
      <c r="K104" s="8">
        <v>12</v>
      </c>
      <c r="L104" s="8">
        <v>36</v>
      </c>
      <c r="M104" s="3">
        <f>I104+L104</f>
        <v>46151</v>
      </c>
      <c r="N104" s="9">
        <f ca="1">L104-(TODAY()-I104)</f>
        <v>-22</v>
      </c>
      <c r="O104" s="8" t="str">
        <f ca="1">IF(J104="","",
IF(TODAY()&lt;=J104,"Active",
IF(N104&gt;0,"Grace",
IF(N104&gt;-30,"Inactive","Freeze"))))</f>
        <v>Inactive</v>
      </c>
      <c r="P104" s="10">
        <v>3200</v>
      </c>
      <c r="Q104" s="11">
        <f>COUNTA(T104:CA104)</f>
        <v>12</v>
      </c>
      <c r="R104" s="3">
        <f>K104-Q104</f>
        <v>0</v>
      </c>
      <c r="S104" s="8" t="str">
        <f>IF(Q104&gt;=K104,"Complete","Incomplete")</f>
        <v>Complete</v>
      </c>
      <c r="T104" s="14">
        <v>46115</v>
      </c>
      <c r="U104" s="14">
        <v>46118</v>
      </c>
      <c r="V104" s="14">
        <v>46121</v>
      </c>
      <c r="W104" s="14">
        <v>46122</v>
      </c>
      <c r="X104" s="14">
        <v>46128</v>
      </c>
      <c r="Y104" s="14">
        <v>46129</v>
      </c>
      <c r="Z104" s="14">
        <v>46144</v>
      </c>
      <c r="AA104" s="14">
        <v>46146</v>
      </c>
      <c r="AB104" s="14">
        <v>46149</v>
      </c>
      <c r="AC104" s="14">
        <v>46150</v>
      </c>
      <c r="AD104" s="14">
        <v>46164</v>
      </c>
      <c r="AE104" s="14">
        <v>46167</v>
      </c>
      <c r="CI104" s="4" t="str">
        <f t="shared" si="2"/>
        <v>1</v>
      </c>
      <c r="CJ104" s="13">
        <f>IF(OR(P104="",CI104=""),"",P104/CI104)</f>
        <v>3200</v>
      </c>
      <c r="CK104" s="5">
        <f t="shared" ca="1" si="3"/>
        <v>46173</v>
      </c>
      <c r="CL104" s="13">
        <f ca="1">IF(OR(I104="",J104="",CJ104="",CK104=""),"",
IF(AND(J104&gt;=EOMONTH(CK104,-1)+1,I104&lt;=EOMONTH(CK104,0)),
CJ104*
(MAX(0,MIN(J104,EOMONTH(CK104,0)) - MAX(I104,EOMONTH(CK104,-1)+1) + 1)
/
DAY(EOMONTH(CK104,0))
),
0))</f>
        <v>309.67741935483872</v>
      </c>
    </row>
    <row r="105" spans="1:90" x14ac:dyDescent="0.2">
      <c r="A105" s="58">
        <v>123</v>
      </c>
      <c r="B105" s="58" t="s">
        <v>278</v>
      </c>
      <c r="C105" s="6">
        <v>44038</v>
      </c>
      <c r="D105" s="3">
        <f ca="1">DATEDIF(C105,TODAY(),"Y") + DATEDIF(C105,TODAY(),"YM")/10</f>
        <v>6</v>
      </c>
      <c r="E105" s="58" t="s">
        <v>279</v>
      </c>
      <c r="F105" s="3">
        <v>9742750638</v>
      </c>
      <c r="G105" s="7">
        <v>46115</v>
      </c>
      <c r="H105" s="7" t="str">
        <f ca="1">DATEDIF(G105,TODAY(),"M") &amp; " Months"</f>
        <v>1 Months</v>
      </c>
      <c r="I105" s="4">
        <v>46115</v>
      </c>
      <c r="J105" s="4">
        <f>EDATE(I105,1)</f>
        <v>46145</v>
      </c>
      <c r="K105" s="8">
        <v>12</v>
      </c>
      <c r="L105" s="8">
        <v>36</v>
      </c>
      <c r="M105" s="3">
        <f>I105+L105</f>
        <v>46151</v>
      </c>
      <c r="N105" s="9">
        <f ca="1">L105-(TODAY()-I105)</f>
        <v>-22</v>
      </c>
      <c r="O105" s="8" t="str">
        <f ca="1">IF(J105="","",
IF(TODAY()&lt;=J105,"Active",
IF(N105&gt;0,"Grace",
IF(N105&gt;-30,"Inactive","Freeze"))))</f>
        <v>Inactive</v>
      </c>
      <c r="P105" s="10">
        <v>3200</v>
      </c>
      <c r="Q105" s="11">
        <f>COUNTA(T105:CA105)</f>
        <v>12</v>
      </c>
      <c r="R105" s="3">
        <f>K105-Q105</f>
        <v>0</v>
      </c>
      <c r="S105" s="8" t="str">
        <f>IF(Q105&gt;=K105,"Complete","Incomplete")</f>
        <v>Complete</v>
      </c>
      <c r="T105" s="14">
        <v>46115</v>
      </c>
      <c r="U105" s="14">
        <v>46118</v>
      </c>
      <c r="V105" s="14">
        <v>46121</v>
      </c>
      <c r="W105" s="14">
        <v>46122</v>
      </c>
      <c r="X105" s="14">
        <v>46125</v>
      </c>
      <c r="Y105" s="14">
        <v>46126</v>
      </c>
      <c r="Z105" s="14">
        <v>46128</v>
      </c>
      <c r="AA105" s="14">
        <v>46129</v>
      </c>
      <c r="AB105" s="14">
        <v>46135</v>
      </c>
      <c r="AC105" s="14">
        <v>46146</v>
      </c>
      <c r="AD105" s="14">
        <v>46149</v>
      </c>
      <c r="AE105" s="14">
        <v>46150</v>
      </c>
      <c r="CI105" s="4" t="str">
        <f t="shared" si="2"/>
        <v>1</v>
      </c>
      <c r="CJ105" s="13">
        <f>IF(OR(P105="",CI105=""),"",P105/CI105)</f>
        <v>3200</v>
      </c>
      <c r="CK105" s="5">
        <f t="shared" ca="1" si="3"/>
        <v>46173</v>
      </c>
      <c r="CL105" s="13">
        <f ca="1">IF(OR(I105="",J105="",CJ105="",CK105=""),"",
IF(AND(J105&gt;=EOMONTH(CK105,-1)+1,I105&lt;=EOMONTH(CK105,0)),
CJ105*
(MAX(0,MIN(J105,EOMONTH(CK105,0)) - MAX(I105,EOMONTH(CK105,-1)+1) + 1)
/
DAY(EOMONTH(CK105,0))
),
0))</f>
        <v>309.67741935483872</v>
      </c>
    </row>
    <row r="106" spans="1:90" x14ac:dyDescent="0.2">
      <c r="A106" s="58">
        <v>124</v>
      </c>
      <c r="B106" s="58" t="s">
        <v>280</v>
      </c>
      <c r="C106" s="6">
        <v>45269</v>
      </c>
      <c r="D106" s="3">
        <f ca="1">DATEDIF(C106,TODAY(),"Y") + DATEDIF(C106,TODAY(),"YM")/10</f>
        <v>2.5</v>
      </c>
      <c r="E106" s="58" t="s">
        <v>281</v>
      </c>
      <c r="F106" s="3">
        <v>9764468308</v>
      </c>
      <c r="G106" s="7">
        <v>46116</v>
      </c>
      <c r="H106" s="7" t="str">
        <f ca="1">DATEDIF(G106,TODAY(),"M") &amp; " Months"</f>
        <v>1 Months</v>
      </c>
      <c r="I106" s="4">
        <v>46116</v>
      </c>
      <c r="J106" s="4">
        <f>EDATE(I106,1)</f>
        <v>46146</v>
      </c>
      <c r="K106" s="8">
        <v>8</v>
      </c>
      <c r="L106" s="8">
        <v>34</v>
      </c>
      <c r="M106" s="3">
        <f>I106+L106</f>
        <v>46150</v>
      </c>
      <c r="N106" s="9">
        <f ca="1">L106-(TODAY()-I106)</f>
        <v>-23</v>
      </c>
      <c r="O106" s="8" t="str">
        <f ca="1">IF(J106="","",
IF(TODAY()&lt;=J106,"Active",
IF(N106&gt;0,"Grace",
IF(N106&gt;-30,"Inactive","Freeze"))))</f>
        <v>Inactive</v>
      </c>
      <c r="P106" s="10">
        <v>2600</v>
      </c>
      <c r="Q106" s="11">
        <f>COUNTA(T106:CA106)</f>
        <v>2</v>
      </c>
      <c r="R106" s="3">
        <f>K106-Q106</f>
        <v>6</v>
      </c>
      <c r="S106" s="8" t="str">
        <f>IF(Q106&gt;=K106,"Complete","Incomplete")</f>
        <v>Incomplete</v>
      </c>
      <c r="T106" s="14">
        <v>46116</v>
      </c>
      <c r="U106" s="14">
        <v>46117</v>
      </c>
      <c r="CI106" s="4" t="str">
        <f t="shared" si="2"/>
        <v>1</v>
      </c>
      <c r="CJ106" s="13">
        <f>IF(OR(P106="",CI106=""),"",P106/CI106)</f>
        <v>2600</v>
      </c>
      <c r="CK106" s="5">
        <f t="shared" ca="1" si="3"/>
        <v>46173</v>
      </c>
      <c r="CL106" s="13">
        <f ca="1">IF(OR(I106="",J106="",CJ106="",CK106=""),"",
IF(AND(J106&gt;=EOMONTH(CK106,-1)+1,I106&lt;=EOMONTH(CK106,0)),
CJ106*
(MAX(0,MIN(J106,EOMONTH(CK106,0)) - MAX(I106,EOMONTH(CK106,-1)+1) + 1)
/
DAY(EOMONTH(CK106,0))
),
0))</f>
        <v>335.48387096774195</v>
      </c>
    </row>
    <row r="107" spans="1:90" x14ac:dyDescent="0.2">
      <c r="A107" s="58">
        <v>125</v>
      </c>
      <c r="B107" s="58" t="s">
        <v>282</v>
      </c>
      <c r="C107" s="6">
        <v>45263</v>
      </c>
      <c r="D107" s="3">
        <f ca="1">DATEDIF(C107,TODAY(),"Y") + DATEDIF(C107,TODAY(),"YM")/10</f>
        <v>2.5</v>
      </c>
      <c r="E107" s="58" t="s">
        <v>283</v>
      </c>
      <c r="F107" s="3">
        <v>9764468308</v>
      </c>
      <c r="G107" s="19">
        <v>46116</v>
      </c>
      <c r="H107" s="7" t="str">
        <f ca="1">DATEDIF(G107,TODAY(),"M") &amp; " Months"</f>
        <v>1 Months</v>
      </c>
      <c r="I107" s="4">
        <v>46116</v>
      </c>
      <c r="J107" s="4">
        <f>EDATE(I107,1)</f>
        <v>46146</v>
      </c>
      <c r="K107" s="8">
        <v>8</v>
      </c>
      <c r="L107" s="8">
        <v>34</v>
      </c>
      <c r="M107" s="3">
        <f>I107+L107</f>
        <v>46150</v>
      </c>
      <c r="N107" s="9">
        <f ca="1">L107-(TODAY()-I107)</f>
        <v>-23</v>
      </c>
      <c r="O107" s="8" t="str">
        <f ca="1">IF(J107="","",
IF(TODAY()&lt;=J107,"Active",
IF(N107&gt;0,"Grace",
IF(N107&gt;-30,"Inactive","Freeze"))))</f>
        <v>Inactive</v>
      </c>
      <c r="P107" s="10">
        <v>2600</v>
      </c>
      <c r="Q107" s="11">
        <f>COUNTA(T107:CA107)</f>
        <v>4</v>
      </c>
      <c r="R107" s="3">
        <f>K107-Q107</f>
        <v>4</v>
      </c>
      <c r="S107" s="8" t="str">
        <f>IF(Q107&gt;=K107,"Complete","Incomplete")</f>
        <v>Incomplete</v>
      </c>
      <c r="T107" s="14">
        <v>46116</v>
      </c>
      <c r="U107" s="14">
        <v>46117</v>
      </c>
      <c r="V107" s="14">
        <v>46144</v>
      </c>
      <c r="W107" s="14">
        <v>46145</v>
      </c>
      <c r="CI107" s="4" t="str">
        <f t="shared" si="2"/>
        <v>1</v>
      </c>
      <c r="CJ107" s="13">
        <f>IF(OR(P107="",CI107=""),"",P107/CI107)</f>
        <v>2600</v>
      </c>
      <c r="CK107" s="5">
        <f t="shared" ca="1" si="3"/>
        <v>46173</v>
      </c>
      <c r="CL107" s="13">
        <f ca="1">IF(OR(I107="",J107="",CJ107="",CK107=""),"",
IF(AND(J107&gt;=EOMONTH(CK107,-1)+1,I107&lt;=EOMONTH(CK107,0)),
CJ107*
(MAX(0,MIN(J107,EOMONTH(CK107,0)) - MAX(I107,EOMONTH(CK107,-1)+1) + 1)
/
DAY(EOMONTH(CK107,0))
),
0))</f>
        <v>335.48387096774195</v>
      </c>
    </row>
    <row r="108" spans="1:90" x14ac:dyDescent="0.2">
      <c r="A108" s="58">
        <v>126</v>
      </c>
      <c r="B108" s="58" t="s">
        <v>284</v>
      </c>
      <c r="C108" s="6">
        <v>45089</v>
      </c>
      <c r="D108" s="3">
        <f ca="1">DATEDIF(C108,TODAY(),"Y") + DATEDIF(C108,TODAY(),"YM")/10</f>
        <v>3.1</v>
      </c>
      <c r="E108" s="58" t="s">
        <v>285</v>
      </c>
      <c r="F108" s="3">
        <v>9960440402</v>
      </c>
      <c r="G108" s="7">
        <v>46116</v>
      </c>
      <c r="H108" s="7" t="str">
        <f ca="1">DATEDIF(G108,TODAY(),"M") &amp; " Months"</f>
        <v>1 Months</v>
      </c>
      <c r="I108" s="4">
        <v>46116</v>
      </c>
      <c r="J108" s="4">
        <f>EDATE(I108,1)</f>
        <v>46146</v>
      </c>
      <c r="K108" s="8">
        <v>8</v>
      </c>
      <c r="L108" s="8">
        <v>34</v>
      </c>
      <c r="M108" s="3">
        <f>I108+L108</f>
        <v>46150</v>
      </c>
      <c r="N108" s="9">
        <f ca="1">L108-(TODAY()-I108)</f>
        <v>-23</v>
      </c>
      <c r="O108" s="8" t="str">
        <f ca="1">IF(J108="","",
IF(TODAY()&lt;=J108,"Active",
IF(N108&gt;0,"Grace",
IF(N108&gt;-30,"Inactive","Freeze"))))</f>
        <v>Inactive</v>
      </c>
      <c r="P108" s="10">
        <v>2600</v>
      </c>
      <c r="Q108" s="11">
        <f>COUNTA(T108:CA108)</f>
        <v>1</v>
      </c>
      <c r="R108" s="3">
        <f>K108-Q108</f>
        <v>7</v>
      </c>
      <c r="S108" s="8" t="str">
        <f>IF(Q108&gt;=K108,"Complete","Incomplete")</f>
        <v>Incomplete</v>
      </c>
      <c r="T108" s="14">
        <v>46116</v>
      </c>
      <c r="U108" s="14"/>
      <c r="CI108" s="4" t="str">
        <f t="shared" si="2"/>
        <v>1</v>
      </c>
      <c r="CJ108" s="13">
        <f>IF(OR(P108="",CI108=""),"",P108/CI108)</f>
        <v>2600</v>
      </c>
      <c r="CK108" s="5">
        <f t="shared" ca="1" si="3"/>
        <v>46173</v>
      </c>
      <c r="CL108" s="13">
        <f ca="1">IF(OR(I108="",J108="",CJ108="",CK108=""),"",
IF(AND(J108&gt;=EOMONTH(CK108,-1)+1,I108&lt;=EOMONTH(CK108,0)),
CJ108*
(MAX(0,MIN(J108,EOMONTH(CK108,0)) - MAX(I108,EOMONTH(CK108,-1)+1) + 1)
/
DAY(EOMONTH(CK108,0))
),
0))</f>
        <v>335.48387096774195</v>
      </c>
    </row>
    <row r="109" spans="1:90" x14ac:dyDescent="0.2">
      <c r="A109" s="58">
        <v>127</v>
      </c>
      <c r="B109" s="58" t="s">
        <v>286</v>
      </c>
      <c r="C109" s="6">
        <v>44356</v>
      </c>
      <c r="D109" s="3">
        <f ca="1">DATEDIF(C109,TODAY(),"Y") + DATEDIF(C109,TODAY(),"YM")/10</f>
        <v>5.0999999999999996</v>
      </c>
      <c r="E109" s="58" t="s">
        <v>287</v>
      </c>
      <c r="F109" s="3">
        <v>7000233517</v>
      </c>
      <c r="G109" s="7">
        <v>46118</v>
      </c>
      <c r="H109" s="7" t="str">
        <f ca="1">DATEDIF(G109,TODAY(),"M") &amp; " Months"</f>
        <v>1 Months</v>
      </c>
      <c r="I109" s="4">
        <v>46118</v>
      </c>
      <c r="J109" s="4">
        <f>EDATE(I109,1)</f>
        <v>46148</v>
      </c>
      <c r="K109" s="8">
        <v>12</v>
      </c>
      <c r="L109" s="8">
        <v>36</v>
      </c>
      <c r="M109" s="3">
        <f>I109+L109</f>
        <v>46154</v>
      </c>
      <c r="N109" s="9">
        <f ca="1">L109-(TODAY()-I109)</f>
        <v>-19</v>
      </c>
      <c r="O109" s="8" t="str">
        <f ca="1">IF(J109="","",
IF(TODAY()&lt;=J109,"Active",
IF(N109&gt;0,"Grace",
IF(N109&gt;-30,"Inactive","Freeze"))))</f>
        <v>Inactive</v>
      </c>
      <c r="P109" s="10">
        <v>3200</v>
      </c>
      <c r="Q109" s="11">
        <f>COUNTA(T109:CA109)</f>
        <v>10</v>
      </c>
      <c r="R109" s="3">
        <f>K109-Q109</f>
        <v>2</v>
      </c>
      <c r="S109" s="8" t="str">
        <f>IF(Q109&gt;=K109,"Complete","Incomplete")</f>
        <v>Incomplete</v>
      </c>
      <c r="T109" s="14">
        <v>46120</v>
      </c>
      <c r="U109" s="14">
        <v>46125</v>
      </c>
      <c r="V109" s="14">
        <v>46127</v>
      </c>
      <c r="W109" s="14">
        <v>46139</v>
      </c>
      <c r="X109" s="14">
        <v>46140</v>
      </c>
      <c r="Y109" s="14">
        <v>46148</v>
      </c>
      <c r="Z109" s="14">
        <v>46150</v>
      </c>
      <c r="AA109" s="14">
        <v>46154</v>
      </c>
      <c r="AB109" s="14">
        <v>46155</v>
      </c>
      <c r="AC109" s="14">
        <v>46157</v>
      </c>
      <c r="CI109" s="4" t="str">
        <f t="shared" si="2"/>
        <v>1</v>
      </c>
      <c r="CJ109" s="13">
        <f>IF(OR(P109="",CI109=""),"",P109/CI109)</f>
        <v>3200</v>
      </c>
      <c r="CK109" s="5">
        <f t="shared" ca="1" si="3"/>
        <v>46173</v>
      </c>
      <c r="CL109" s="13">
        <f ca="1">IF(OR(I109="",J109="",CJ109="",CK109=""),"",
IF(AND(J109&gt;=EOMONTH(CK109,-1)+1,I109&lt;=EOMONTH(CK109,0)),
CJ109*
(MAX(0,MIN(J109,EOMONTH(CK109,0)) - MAX(I109,EOMONTH(CK109,-1)+1) + 1)
/
DAY(EOMONTH(CK109,0))
),
0))</f>
        <v>619.35483870967744</v>
      </c>
    </row>
    <row r="110" spans="1:90" x14ac:dyDescent="0.2">
      <c r="A110" s="58">
        <v>128</v>
      </c>
      <c r="B110" s="58" t="s">
        <v>288</v>
      </c>
      <c r="C110" s="6">
        <v>44861</v>
      </c>
      <c r="D110" s="3">
        <f ca="1">DATEDIF(C110,TODAY(),"Y") + DATEDIF(C110,TODAY(),"YM")/10</f>
        <v>3.7</v>
      </c>
      <c r="E110" s="58" t="s">
        <v>289</v>
      </c>
      <c r="F110" s="3">
        <v>9047444789</v>
      </c>
      <c r="G110" s="7">
        <v>46115</v>
      </c>
      <c r="H110" s="7" t="str">
        <f ca="1">DATEDIF(G110,TODAY(),"M") &amp; " Months"</f>
        <v>1 Months</v>
      </c>
      <c r="I110" s="4">
        <v>46115</v>
      </c>
      <c r="J110" s="4">
        <f>EDATE(I110,1)</f>
        <v>46145</v>
      </c>
      <c r="K110" s="8">
        <v>12</v>
      </c>
      <c r="L110" s="8">
        <v>36</v>
      </c>
      <c r="M110" s="3">
        <f>I110+L110</f>
        <v>46151</v>
      </c>
      <c r="N110" s="9">
        <f ca="1">L110-(TODAY()-I110)</f>
        <v>-22</v>
      </c>
      <c r="O110" s="8" t="str">
        <f ca="1">IF(J110="","",
IF(TODAY()&lt;=J110,"Active",
IF(N110&gt;0,"Grace",
IF(N110&gt;-30,"Inactive","Freeze"))))</f>
        <v>Inactive</v>
      </c>
      <c r="P110" s="10">
        <v>3200</v>
      </c>
      <c r="Q110" s="11">
        <f>COUNTA(T110:CA110)</f>
        <v>12</v>
      </c>
      <c r="R110" s="3">
        <f>K110-Q110</f>
        <v>0</v>
      </c>
      <c r="S110" s="8" t="str">
        <f>IF(Q110&gt;=K110,"Complete","Incomplete")</f>
        <v>Complete</v>
      </c>
      <c r="T110" s="14">
        <v>46115</v>
      </c>
      <c r="U110" s="14">
        <v>46118</v>
      </c>
      <c r="V110" s="14">
        <v>46120</v>
      </c>
      <c r="W110" s="14">
        <v>46122</v>
      </c>
      <c r="X110" s="14">
        <v>46127</v>
      </c>
      <c r="Y110" s="14">
        <v>46129</v>
      </c>
      <c r="Z110" s="14">
        <v>46131</v>
      </c>
      <c r="AA110" s="14">
        <v>46132</v>
      </c>
      <c r="AB110" s="14">
        <v>46134</v>
      </c>
      <c r="AC110" s="14">
        <v>46136</v>
      </c>
      <c r="AD110" s="14">
        <v>46139</v>
      </c>
      <c r="AE110" s="14">
        <v>46141</v>
      </c>
      <c r="CI110" s="4" t="str">
        <f t="shared" si="2"/>
        <v>1</v>
      </c>
      <c r="CJ110" s="13">
        <f>IF(OR(P110="",CI110=""),"",P110/CI110)</f>
        <v>3200</v>
      </c>
      <c r="CK110" s="5">
        <f t="shared" ca="1" si="3"/>
        <v>46173</v>
      </c>
      <c r="CL110" s="13">
        <f ca="1">IF(OR(I110="",J110="",CJ110="",CK110=""),"",
IF(AND(J110&gt;=EOMONTH(CK110,-1)+1,I110&lt;=EOMONTH(CK110,0)),
CJ110*
(MAX(0,MIN(J110,EOMONTH(CK110,0)) - MAX(I110,EOMONTH(CK110,-1)+1) + 1)
/
DAY(EOMONTH(CK110,0))
),
0))</f>
        <v>309.67741935483872</v>
      </c>
    </row>
    <row r="111" spans="1:90" x14ac:dyDescent="0.2">
      <c r="A111" s="58">
        <v>129</v>
      </c>
      <c r="B111" s="58" t="s">
        <v>290</v>
      </c>
      <c r="C111" s="6">
        <v>43601</v>
      </c>
      <c r="D111" s="3">
        <f ca="1">DATEDIF(C111,TODAY(),"Y") + DATEDIF(C111,TODAY(),"YM")/10</f>
        <v>7</v>
      </c>
      <c r="E111" s="58" t="s">
        <v>291</v>
      </c>
      <c r="F111" s="3">
        <v>8369355574</v>
      </c>
      <c r="G111" s="7">
        <v>46111</v>
      </c>
      <c r="H111" s="7" t="str">
        <f ca="1">DATEDIF(G111,TODAY(),"M") &amp; " Months"</f>
        <v>2 Months</v>
      </c>
      <c r="I111" s="4">
        <v>46148</v>
      </c>
      <c r="J111" s="4">
        <f>EDATE(I111,1)</f>
        <v>46179</v>
      </c>
      <c r="K111" s="8">
        <v>12</v>
      </c>
      <c r="L111" s="8">
        <v>36</v>
      </c>
      <c r="M111" s="3">
        <f>I111+L111</f>
        <v>46184</v>
      </c>
      <c r="N111" s="9">
        <f ca="1">L111-(TODAY()-I111)</f>
        <v>11</v>
      </c>
      <c r="O111" s="8" t="str">
        <f ca="1">IF(J111="","",
IF(TODAY()&lt;=J111,"Active",
IF(N111&gt;0,"Grace",
IF(N111&gt;-30,"Inactive","Freeze"))))</f>
        <v>Active</v>
      </c>
      <c r="P111" s="10">
        <v>3200</v>
      </c>
      <c r="Q111" s="11">
        <f>COUNTA(T111:CA111)</f>
        <v>5</v>
      </c>
      <c r="R111" s="3">
        <f>K111-Q111</f>
        <v>7</v>
      </c>
      <c r="S111" s="8" t="str">
        <f>IF(Q111&gt;=K111,"Complete","Incomplete")</f>
        <v>Incomplete</v>
      </c>
      <c r="T111" s="14">
        <v>46153</v>
      </c>
      <c r="U111" s="14">
        <v>46155</v>
      </c>
      <c r="V111" s="14">
        <v>46160</v>
      </c>
      <c r="W111" s="14">
        <v>46163</v>
      </c>
      <c r="X111" s="14">
        <v>46171</v>
      </c>
      <c r="Y111" s="14"/>
      <c r="Z111" s="14"/>
      <c r="AA111" s="14"/>
      <c r="AB111" s="14"/>
      <c r="AC111" s="14"/>
      <c r="AD111" s="14"/>
      <c r="CI111" s="4" t="str">
        <f t="shared" si="2"/>
        <v>1</v>
      </c>
      <c r="CJ111" s="13">
        <f>IF(OR(P111="",CI111=""),"",P111/CI111)</f>
        <v>3200</v>
      </c>
      <c r="CK111" s="5">
        <f t="shared" ca="1" si="3"/>
        <v>46173</v>
      </c>
      <c r="CL111" s="13">
        <f ca="1">IF(OR(I111="",J111="",CJ111="",CK111=""),"",
IF(AND(J111&gt;=EOMONTH(CK111,-1)+1,I111&lt;=EOMONTH(CK111,0)),
CJ111*
(MAX(0,MIN(J111,EOMONTH(CK111,0)) - MAX(I111,EOMONTH(CK111,-1)+1) + 1)
/
DAY(EOMONTH(CK111,0))
),
0))</f>
        <v>2683.8709677419356</v>
      </c>
    </row>
    <row r="112" spans="1:90" x14ac:dyDescent="0.2">
      <c r="A112" s="58">
        <v>130</v>
      </c>
      <c r="B112" s="58" t="s">
        <v>292</v>
      </c>
      <c r="C112" s="6">
        <v>44594</v>
      </c>
      <c r="D112" s="3">
        <f ca="1">DATEDIF(C112,TODAY(),"Y") + DATEDIF(C112,TODAY(),"YM")/10</f>
        <v>4.3</v>
      </c>
      <c r="E112" s="58" t="s">
        <v>293</v>
      </c>
      <c r="F112" s="3">
        <v>9890467001</v>
      </c>
      <c r="G112" s="7">
        <v>46118</v>
      </c>
      <c r="H112" s="7" t="str">
        <f ca="1">DATEDIF(G112,TODAY(),"M") &amp; " Months"</f>
        <v>1 Months</v>
      </c>
      <c r="I112" s="4">
        <v>46167</v>
      </c>
      <c r="J112" s="4">
        <f>EDATE(I112,1)</f>
        <v>46198</v>
      </c>
      <c r="K112" s="8">
        <v>7</v>
      </c>
      <c r="L112" s="8">
        <v>14</v>
      </c>
      <c r="M112" s="3">
        <f>I112+L112</f>
        <v>46181</v>
      </c>
      <c r="N112" s="9">
        <f ca="1">L112-(TODAY()-I112)</f>
        <v>8</v>
      </c>
      <c r="O112" s="8" t="str">
        <f ca="1">IF(J112="","",
IF(TODAY()&lt;=J112,"Active",
IF(N112&gt;0,"Grace",
IF(N112&gt;-30,"Inactive","Freeze"))))</f>
        <v>Active</v>
      </c>
      <c r="P112" s="10">
        <v>3040</v>
      </c>
      <c r="Q112" s="11">
        <f>COUNTA(T112:CA112)</f>
        <v>3</v>
      </c>
      <c r="R112" s="3">
        <f>K112-Q112</f>
        <v>4</v>
      </c>
      <c r="S112" s="8" t="str">
        <f>IF(Q112&gt;=K112,"Complete","Incomplete")</f>
        <v>Incomplete</v>
      </c>
      <c r="T112" s="14">
        <v>46167</v>
      </c>
      <c r="U112" s="14">
        <v>46169</v>
      </c>
      <c r="V112" s="14">
        <v>46170</v>
      </c>
      <c r="W112" s="14"/>
      <c r="X112" s="14"/>
      <c r="Y112" s="14"/>
      <c r="CI112" s="4" t="str">
        <f t="shared" si="2"/>
        <v>1</v>
      </c>
      <c r="CJ112" s="13">
        <f>IF(OR(P112="",CI112=""),"",P112/CI112)</f>
        <v>3040</v>
      </c>
      <c r="CK112" s="5">
        <f t="shared" ca="1" si="3"/>
        <v>46173</v>
      </c>
      <c r="CL112" s="13">
        <f ca="1">IF(OR(I112="",J112="",CJ112="",CK112=""),"",
IF(AND(J112&gt;=EOMONTH(CK112,-1)+1,I112&lt;=EOMONTH(CK112,0)),
CJ112*
(MAX(0,MIN(J112,EOMONTH(CK112,0)) - MAX(I112,EOMONTH(CK112,-1)+1) + 1)
/
DAY(EOMONTH(CK112,0))
),
0))</f>
        <v>686.45161290322574</v>
      </c>
    </row>
    <row r="113" spans="1:90" x14ac:dyDescent="0.2">
      <c r="A113" s="58">
        <v>131</v>
      </c>
      <c r="B113" s="58" t="s">
        <v>294</v>
      </c>
      <c r="C113" s="6">
        <v>43775</v>
      </c>
      <c r="D113" s="3">
        <f ca="1">DATEDIF(C113,TODAY(),"Y") + DATEDIF(C113,TODAY(),"YM")/10</f>
        <v>6.6</v>
      </c>
      <c r="E113" s="58" t="s">
        <v>295</v>
      </c>
      <c r="F113" s="3">
        <v>9049778601</v>
      </c>
      <c r="G113" s="7">
        <v>46118</v>
      </c>
      <c r="H113" s="7" t="str">
        <f ca="1">DATEDIF(G113,TODAY(),"M") &amp; " Months"</f>
        <v>1 Months</v>
      </c>
      <c r="I113" s="4">
        <v>46118</v>
      </c>
      <c r="J113" s="4">
        <f>EDATE(I113,1)</f>
        <v>46148</v>
      </c>
      <c r="K113" s="8">
        <v>6</v>
      </c>
      <c r="L113" s="8">
        <v>12</v>
      </c>
      <c r="M113" s="3">
        <f>I113+L113</f>
        <v>46130</v>
      </c>
      <c r="N113" s="9">
        <f ca="1">L113-(TODAY()-I113)</f>
        <v>-43</v>
      </c>
      <c r="O113" s="8" t="str">
        <f ca="1">IF(J113="","",
IF(TODAY()&lt;=J113,"Active",
IF(N113&gt;0,"Grace",
IF(N113&gt;-30,"Inactive","Freeze"))))</f>
        <v>Freeze</v>
      </c>
      <c r="P113" s="18">
        <v>1600</v>
      </c>
      <c r="Q113" s="11">
        <f>COUNTA(T113:CA113)</f>
        <v>8</v>
      </c>
      <c r="R113" s="3">
        <f>K113-Q113</f>
        <v>-2</v>
      </c>
      <c r="S113" s="8" t="str">
        <f>IF(Q113&gt;=K113,"Complete","Incomplete")</f>
        <v>Complete</v>
      </c>
      <c r="T113" s="14">
        <v>46118</v>
      </c>
      <c r="U113" s="14">
        <v>46121</v>
      </c>
      <c r="V113" s="14">
        <v>46125</v>
      </c>
      <c r="W113" s="14">
        <v>46126</v>
      </c>
      <c r="X113" s="14">
        <v>46128</v>
      </c>
      <c r="Y113" s="14">
        <v>46129</v>
      </c>
      <c r="Z113" s="14">
        <v>46139</v>
      </c>
      <c r="AA113" s="14">
        <v>46163</v>
      </c>
      <c r="CI113" s="4" t="str">
        <f t="shared" si="2"/>
        <v>1</v>
      </c>
      <c r="CJ113" s="13">
        <f>IF(OR(P113="",CI113=""),"",P113/CI113)</f>
        <v>1600</v>
      </c>
      <c r="CK113" s="5">
        <f t="shared" ca="1" si="3"/>
        <v>46173</v>
      </c>
      <c r="CL113" s="13">
        <f ca="1">IF(OR(I113="",J113="",CJ113="",CK113=""),"",
IF(AND(J113&gt;=EOMONTH(CK113,-1)+1,I113&lt;=EOMONTH(CK113,0)),
CJ113*
(MAX(0,MIN(J113,EOMONTH(CK113,0)) - MAX(I113,EOMONTH(CK113,-1)+1) + 1)
/
DAY(EOMONTH(CK113,0))
),
0))</f>
        <v>309.67741935483872</v>
      </c>
    </row>
    <row r="114" spans="1:90" x14ac:dyDescent="0.2">
      <c r="A114" s="58">
        <v>132</v>
      </c>
      <c r="B114" s="58" t="s">
        <v>296</v>
      </c>
      <c r="C114" s="6">
        <v>43865</v>
      </c>
      <c r="D114" s="3">
        <f ca="1">DATEDIF(C114,TODAY(),"Y") + DATEDIF(C114,TODAY(),"YM")/10</f>
        <v>6.3</v>
      </c>
      <c r="E114" s="58" t="s">
        <v>297</v>
      </c>
      <c r="F114" s="3">
        <v>9960728795</v>
      </c>
      <c r="G114" s="7">
        <v>46118</v>
      </c>
      <c r="H114" s="7" t="str">
        <f ca="1">DATEDIF(G114,TODAY(),"M") &amp; " Months"</f>
        <v>1 Months</v>
      </c>
      <c r="I114" s="4">
        <v>46118</v>
      </c>
      <c r="J114" s="4">
        <f>EDATE(I114,1)</f>
        <v>46148</v>
      </c>
      <c r="K114" s="8">
        <v>16</v>
      </c>
      <c r="L114" s="8">
        <v>36</v>
      </c>
      <c r="M114" s="3">
        <f>I114+L114</f>
        <v>46154</v>
      </c>
      <c r="N114" s="9">
        <f ca="1">L114-(TODAY()-I114)</f>
        <v>-19</v>
      </c>
      <c r="O114" s="8" t="str">
        <f ca="1">IF(J114="","",
IF(TODAY()&lt;=J114,"Active",
IF(N114&gt;0,"Grace",
IF(N114&gt;-30,"Inactive","Freeze"))))</f>
        <v>Inactive</v>
      </c>
      <c r="P114" s="10">
        <v>3900</v>
      </c>
      <c r="Q114" s="11">
        <f>COUNTA(T114:CA114)</f>
        <v>6</v>
      </c>
      <c r="R114" s="3">
        <f>K114-Q114</f>
        <v>10</v>
      </c>
      <c r="S114" s="8" t="str">
        <f>IF(Q114&gt;=K114,"Complete","Incomplete")</f>
        <v>Incomplete</v>
      </c>
      <c r="T114" s="14">
        <v>46118</v>
      </c>
      <c r="U114" s="14">
        <v>46120</v>
      </c>
      <c r="V114" s="14">
        <v>46121</v>
      </c>
      <c r="W114" s="14">
        <v>46125</v>
      </c>
      <c r="X114" s="14">
        <v>46126</v>
      </c>
      <c r="Y114" s="14">
        <v>46127</v>
      </c>
      <c r="CI114" s="4" t="str">
        <f t="shared" si="2"/>
        <v>1</v>
      </c>
      <c r="CJ114" s="13">
        <f>IF(OR(P114="",CI114=""),"",P114/CI114)</f>
        <v>3900</v>
      </c>
      <c r="CK114" s="5">
        <f t="shared" ca="1" si="3"/>
        <v>46173</v>
      </c>
      <c r="CL114" s="13">
        <f ca="1">IF(OR(I114="",J114="",CJ114="",CK114=""),"",
IF(AND(J114&gt;=EOMONTH(CK114,-1)+1,I114&lt;=EOMONTH(CK114,0)),
CJ114*
(MAX(0,MIN(J114,EOMONTH(CK114,0)) - MAX(I114,EOMONTH(CK114,-1)+1) + 1)
/
DAY(EOMONTH(CK114,0))
),
0))</f>
        <v>754.83870967741939</v>
      </c>
    </row>
    <row r="115" spans="1:90" x14ac:dyDescent="0.2">
      <c r="A115" s="58">
        <v>133</v>
      </c>
      <c r="B115" s="58" t="s">
        <v>298</v>
      </c>
      <c r="C115" s="6">
        <v>43888</v>
      </c>
      <c r="D115" s="3">
        <f ca="1">DATEDIF(C115,TODAY(),"Y") + DATEDIF(C115,TODAY(),"YM")/10</f>
        <v>6.3</v>
      </c>
      <c r="E115" s="58" t="s">
        <v>299</v>
      </c>
      <c r="F115" s="3">
        <v>9604177017</v>
      </c>
      <c r="G115" s="7">
        <v>46119</v>
      </c>
      <c r="H115" s="7" t="str">
        <f ca="1">DATEDIF(G115,TODAY(),"M") &amp; " Months"</f>
        <v>1 Months</v>
      </c>
      <c r="I115" s="4">
        <v>46119</v>
      </c>
      <c r="J115" s="4">
        <f>EDATE(I115,1)</f>
        <v>46149</v>
      </c>
      <c r="K115" s="8">
        <v>6</v>
      </c>
      <c r="L115" s="8">
        <v>15</v>
      </c>
      <c r="M115" s="3">
        <f>I115+L115</f>
        <v>46134</v>
      </c>
      <c r="N115" s="9">
        <f ca="1">L115-(TODAY()-I115)</f>
        <v>-39</v>
      </c>
      <c r="O115" s="8" t="str">
        <f ca="1">IF(J115="","",
IF(TODAY()&lt;=J115,"Active",
IF(N115&gt;0,"Grace",
IF(N115&gt;-30,"Inactive","Freeze"))))</f>
        <v>Freeze</v>
      </c>
      <c r="P115" s="10">
        <v>1602</v>
      </c>
      <c r="Q115" s="11">
        <f>COUNTA(T115:CA115)</f>
        <v>12</v>
      </c>
      <c r="R115" s="3">
        <f>K115-Q115</f>
        <v>-6</v>
      </c>
      <c r="S115" s="8" t="str">
        <f>IF(Q115&gt;=K115,"Complete","Incomplete")</f>
        <v>Complete</v>
      </c>
      <c r="T115" s="14">
        <v>46119</v>
      </c>
      <c r="U115" s="14">
        <v>46121</v>
      </c>
      <c r="V115" s="14">
        <v>46125</v>
      </c>
      <c r="W115" s="14">
        <v>46127</v>
      </c>
      <c r="X115" s="14">
        <v>46129</v>
      </c>
      <c r="Y115" s="14">
        <v>46132</v>
      </c>
      <c r="Z115" s="14">
        <v>46134</v>
      </c>
      <c r="AA115" s="14">
        <v>46137</v>
      </c>
      <c r="AB115" s="14">
        <v>46141</v>
      </c>
      <c r="AC115" s="14">
        <v>46143</v>
      </c>
      <c r="AD115" s="14">
        <v>46144</v>
      </c>
      <c r="AE115" s="14">
        <v>46146</v>
      </c>
      <c r="CI115" s="4" t="str">
        <f t="shared" si="2"/>
        <v>1</v>
      </c>
      <c r="CJ115" s="13">
        <f>IF(OR(P115="",CI115=""),"",P115/CI115)</f>
        <v>1602</v>
      </c>
      <c r="CK115" s="5">
        <f t="shared" ca="1" si="3"/>
        <v>46173</v>
      </c>
      <c r="CL115" s="13">
        <f ca="1">IF(OR(I115="",J115="",CJ115="",CK115=""),"",
IF(AND(J115&gt;=EOMONTH(CK115,-1)+1,I115&lt;=EOMONTH(CK115,0)),
CJ115*
(MAX(0,MIN(J115,EOMONTH(CK115,0)) - MAX(I115,EOMONTH(CK115,-1)+1) + 1)
/
DAY(EOMONTH(CK115,0))
),
0))</f>
        <v>361.74193548387098</v>
      </c>
    </row>
    <row r="116" spans="1:90" x14ac:dyDescent="0.2">
      <c r="A116" s="58">
        <v>134</v>
      </c>
      <c r="B116" s="58" t="s">
        <v>300</v>
      </c>
      <c r="C116" s="6">
        <v>45144</v>
      </c>
      <c r="D116" s="3">
        <f ca="1">DATEDIF(C116,TODAY(),"Y") + DATEDIF(C116,TODAY(),"YM")/10</f>
        <v>2.9</v>
      </c>
      <c r="E116" s="58" t="s">
        <v>301</v>
      </c>
      <c r="F116" s="3">
        <v>7499279644</v>
      </c>
      <c r="G116" s="7">
        <v>46115</v>
      </c>
      <c r="H116" s="7" t="str">
        <f ca="1">DATEDIF(G116,TODAY(),"M") &amp; " Months"</f>
        <v>1 Months</v>
      </c>
      <c r="I116" s="4">
        <v>46148</v>
      </c>
      <c r="J116" s="4">
        <f>EDATE(I116,1)</f>
        <v>46179</v>
      </c>
      <c r="K116" s="8">
        <v>12</v>
      </c>
      <c r="L116" s="8">
        <v>36</v>
      </c>
      <c r="M116" s="3">
        <f>I116+L116</f>
        <v>46184</v>
      </c>
      <c r="N116" s="9">
        <f ca="1">L116-(TODAY()-I116)</f>
        <v>11</v>
      </c>
      <c r="O116" s="8" t="str">
        <f ca="1">IF(J116="","",
IF(TODAY()&lt;=J116,"Active",
IF(N116&gt;0,"Grace",
IF(N116&gt;-30,"Inactive","Freeze"))))</f>
        <v>Active</v>
      </c>
      <c r="P116" s="10">
        <v>3200</v>
      </c>
      <c r="Q116" s="11">
        <f>COUNTA(T116:CA116)</f>
        <v>5</v>
      </c>
      <c r="R116" s="3">
        <f>K116-Q116</f>
        <v>7</v>
      </c>
      <c r="S116" s="8" t="str">
        <f>IF(Q116&gt;=K116,"Complete","Incomplete")</f>
        <v>Incomplete</v>
      </c>
      <c r="T116" s="14">
        <v>46148</v>
      </c>
      <c r="U116" s="14">
        <v>46150</v>
      </c>
      <c r="V116" s="14">
        <v>46167</v>
      </c>
      <c r="W116" s="14">
        <v>46169</v>
      </c>
      <c r="X116" s="14">
        <v>46171</v>
      </c>
      <c r="Y116" s="14"/>
      <c r="Z116" s="14"/>
      <c r="AA116" s="14"/>
      <c r="AB116" s="14"/>
      <c r="AC116" s="14"/>
      <c r="AD116" s="14"/>
      <c r="AE116" s="14"/>
      <c r="CI116" s="4" t="str">
        <f t="shared" si="2"/>
        <v>1</v>
      </c>
      <c r="CJ116" s="13">
        <f>IF(OR(P116="",CI116=""),"",P116/CI116)</f>
        <v>3200</v>
      </c>
      <c r="CK116" s="5">
        <f t="shared" ca="1" si="3"/>
        <v>46173</v>
      </c>
      <c r="CL116" s="13">
        <f ca="1">IF(OR(I116="",J116="",CJ116="",CK116=""),"",
IF(AND(J116&gt;=EOMONTH(CK116,-1)+1,I116&lt;=EOMONTH(CK116,0)),
CJ116*
(MAX(0,MIN(J116,EOMONTH(CK116,0)) - MAX(I116,EOMONTH(CK116,-1)+1) + 1)
/
DAY(EOMONTH(CK116,0))
),
0))</f>
        <v>2683.8709677419356</v>
      </c>
    </row>
    <row r="117" spans="1:90" x14ac:dyDescent="0.2">
      <c r="A117" s="58">
        <v>135</v>
      </c>
      <c r="B117" s="58" t="s">
        <v>302</v>
      </c>
      <c r="C117" s="6">
        <v>44950</v>
      </c>
      <c r="D117" s="3">
        <f ca="1">DATEDIF(C117,TODAY(),"Y") + DATEDIF(C117,TODAY(),"YM")/10</f>
        <v>3.4</v>
      </c>
      <c r="E117" s="58" t="s">
        <v>303</v>
      </c>
      <c r="F117" s="3">
        <v>9766478891</v>
      </c>
      <c r="G117" s="7">
        <v>46120</v>
      </c>
      <c r="H117" s="7" t="str">
        <f ca="1">DATEDIF(G117,TODAY(),"M") &amp; " Months"</f>
        <v>1 Months</v>
      </c>
      <c r="I117" s="4">
        <v>46120</v>
      </c>
      <c r="J117" s="4">
        <f>EDATE(I117,1)</f>
        <v>46150</v>
      </c>
      <c r="K117" s="8">
        <v>8</v>
      </c>
      <c r="L117" s="8">
        <v>34</v>
      </c>
      <c r="M117" s="3">
        <f>I117+L117</f>
        <v>46154</v>
      </c>
      <c r="N117" s="9">
        <f ca="1">L117-(TODAY()-I117)</f>
        <v>-19</v>
      </c>
      <c r="O117" s="8" t="str">
        <f ca="1">IF(J117="","",
IF(TODAY()&lt;=J117,"Active",
IF(N117&gt;0,"Grace",
IF(N117&gt;-30,"Inactive","Freeze"))))</f>
        <v>Inactive</v>
      </c>
      <c r="P117" s="10">
        <v>2600</v>
      </c>
      <c r="Q117" s="11">
        <f>COUNTA(T117:CA117)</f>
        <v>7</v>
      </c>
      <c r="R117" s="3">
        <f>K117-Q117</f>
        <v>1</v>
      </c>
      <c r="S117" s="8" t="str">
        <f>IF(Q117&gt;=K117,"Complete","Incomplete")</f>
        <v>Incomplete</v>
      </c>
      <c r="T117" s="14">
        <v>46120</v>
      </c>
      <c r="U117" s="14">
        <v>46121</v>
      </c>
      <c r="V117" s="14">
        <v>46125</v>
      </c>
      <c r="W117" s="14">
        <v>46129</v>
      </c>
      <c r="X117" s="14">
        <v>46139</v>
      </c>
      <c r="Y117" s="14">
        <v>46141</v>
      </c>
      <c r="Z117" s="14">
        <v>46143</v>
      </c>
      <c r="CI117" s="4" t="str">
        <f t="shared" si="2"/>
        <v>1</v>
      </c>
      <c r="CJ117" s="13">
        <f>IF(OR(P117="",CI117=""),"",P117/CI117)</f>
        <v>2600</v>
      </c>
      <c r="CK117" s="5">
        <f t="shared" ca="1" si="3"/>
        <v>46173</v>
      </c>
      <c r="CL117" s="13">
        <f ca="1">IF(OR(I117="",J117="",CJ117="",CK117=""),"",
IF(AND(J117&gt;=EOMONTH(CK117,-1)+1,I117&lt;=EOMONTH(CK117,0)),
CJ117*
(MAX(0,MIN(J117,EOMONTH(CK117,0)) - MAX(I117,EOMONTH(CK117,-1)+1) + 1)
/
DAY(EOMONTH(CK117,0))
),
0))</f>
        <v>670.9677419354839</v>
      </c>
    </row>
    <row r="118" spans="1:90" x14ac:dyDescent="0.2">
      <c r="A118" s="58">
        <v>136</v>
      </c>
      <c r="B118" s="58" t="s">
        <v>304</v>
      </c>
      <c r="C118" s="6">
        <v>44865</v>
      </c>
      <c r="D118" s="3">
        <f ca="1">DATEDIF(C118,TODAY(),"Y") + DATEDIF(C118,TODAY(),"YM")/10</f>
        <v>3.7</v>
      </c>
      <c r="E118" s="58" t="s">
        <v>305</v>
      </c>
      <c r="F118" s="3">
        <v>9545505866</v>
      </c>
      <c r="G118" s="7">
        <v>46120</v>
      </c>
      <c r="H118" s="7" t="str">
        <f ca="1">DATEDIF(G118,TODAY(),"M") &amp; " Months"</f>
        <v>1 Months</v>
      </c>
      <c r="I118" s="4">
        <v>46120</v>
      </c>
      <c r="J118" s="4">
        <f>EDATE(I118,1)</f>
        <v>46150</v>
      </c>
      <c r="K118" s="8">
        <v>8</v>
      </c>
      <c r="L118" s="8">
        <v>34</v>
      </c>
      <c r="M118" s="3">
        <f>I118+L118</f>
        <v>46154</v>
      </c>
      <c r="N118" s="9">
        <f ca="1">L118-(TODAY()-I118)</f>
        <v>-19</v>
      </c>
      <c r="O118" s="8" t="str">
        <f ca="1">IF(J118="","",
IF(TODAY()&lt;=J118,"Active",
IF(N118&gt;0,"Grace",
IF(N118&gt;-30,"Inactive","Freeze"))))</f>
        <v>Inactive</v>
      </c>
      <c r="P118" s="10">
        <v>2600</v>
      </c>
      <c r="Q118" s="11">
        <f>COUNTA(T118:CA118)</f>
        <v>6</v>
      </c>
      <c r="R118" s="3">
        <f>K118-Q118</f>
        <v>2</v>
      </c>
      <c r="S118" s="8" t="str">
        <f>IF(Q118&gt;=K118,"Complete","Incomplete")</f>
        <v>Incomplete</v>
      </c>
      <c r="T118" s="14">
        <v>46120</v>
      </c>
      <c r="U118" s="14">
        <v>46121</v>
      </c>
      <c r="V118" s="14">
        <v>46125</v>
      </c>
      <c r="W118" s="14">
        <v>46129</v>
      </c>
      <c r="X118" s="14">
        <v>46139</v>
      </c>
      <c r="Y118" s="14">
        <v>46143</v>
      </c>
      <c r="CI118" s="4" t="str">
        <f t="shared" si="2"/>
        <v>1</v>
      </c>
      <c r="CJ118" s="13">
        <f>IF(OR(P118="",CI118=""),"",P118/CI118)</f>
        <v>2600</v>
      </c>
      <c r="CK118" s="5">
        <f t="shared" ca="1" si="3"/>
        <v>46173</v>
      </c>
      <c r="CL118" s="13">
        <f ca="1">IF(OR(I118="",J118="",CJ118="",CK118=""),"",
IF(AND(J118&gt;=EOMONTH(CK118,-1)+1,I118&lt;=EOMONTH(CK118,0)),
CJ118*
(MAX(0,MIN(J118,EOMONTH(CK118,0)) - MAX(I118,EOMONTH(CK118,-1)+1) + 1)
/
DAY(EOMONTH(CK118,0))
),
0))</f>
        <v>670.9677419354839</v>
      </c>
    </row>
    <row r="119" spans="1:90" x14ac:dyDescent="0.2">
      <c r="A119" s="58">
        <v>137</v>
      </c>
      <c r="B119" s="58" t="s">
        <v>306</v>
      </c>
      <c r="D119" s="3">
        <f ca="1">DATEDIF(C119,TODAY(),"Y") + DATEDIF(C119,TODAY(),"YM")/10</f>
        <v>126.4</v>
      </c>
      <c r="E119" s="58" t="s">
        <v>307</v>
      </c>
      <c r="F119" s="3">
        <v>9459577056</v>
      </c>
      <c r="G119" s="7">
        <v>46120</v>
      </c>
      <c r="H119" s="7" t="str">
        <f ca="1">DATEDIF(G119,TODAY(),"M") &amp; " Months"</f>
        <v>1 Months</v>
      </c>
      <c r="I119" s="4">
        <v>46120</v>
      </c>
      <c r="J119" s="4">
        <f>EDATE(I119,1)</f>
        <v>46150</v>
      </c>
      <c r="K119" s="8">
        <v>11</v>
      </c>
      <c r="L119" s="8">
        <v>36</v>
      </c>
      <c r="M119" s="3">
        <f>I119+L119</f>
        <v>46156</v>
      </c>
      <c r="N119" s="9">
        <f ca="1">L119-(TODAY()-I119)</f>
        <v>-17</v>
      </c>
      <c r="O119" s="8" t="str">
        <f ca="1">IF(J119="","",
IF(TODAY()&lt;=J119,"Active",
IF(N119&gt;0,"Grace",
IF(N119&gt;-30,"Inactive","Freeze"))))</f>
        <v>Inactive</v>
      </c>
      <c r="P119" s="10">
        <v>2937</v>
      </c>
      <c r="Q119" s="11">
        <f>COUNTA(T119:CA119)</f>
        <v>7</v>
      </c>
      <c r="R119" s="3">
        <f>K119-Q119</f>
        <v>4</v>
      </c>
      <c r="S119" s="8" t="str">
        <f>IF(Q119&gt;=K119,"Complete","Incomplete")</f>
        <v>Incomplete</v>
      </c>
      <c r="T119" s="14">
        <v>46120</v>
      </c>
      <c r="U119" s="14">
        <v>46121</v>
      </c>
      <c r="V119" s="14">
        <v>46123</v>
      </c>
      <c r="W119" s="14">
        <v>46127</v>
      </c>
      <c r="X119" s="14">
        <v>46129</v>
      </c>
      <c r="Y119" s="14">
        <v>46134</v>
      </c>
      <c r="Z119" s="14">
        <v>46136</v>
      </c>
      <c r="CI119" s="4" t="str">
        <f t="shared" si="2"/>
        <v>1</v>
      </c>
      <c r="CJ119" s="13">
        <f>IF(OR(P119="",CI119=""),"",P119/CI119)</f>
        <v>2937</v>
      </c>
      <c r="CK119" s="5">
        <f t="shared" ca="1" si="3"/>
        <v>46173</v>
      </c>
      <c r="CL119" s="13">
        <f ca="1">IF(OR(I119="",J119="",CJ119="",CK119=""),"",
IF(AND(J119&gt;=EOMONTH(CK119,-1)+1,I119&lt;=EOMONTH(CK119,0)),
CJ119*
(MAX(0,MIN(J119,EOMONTH(CK119,0)) - MAX(I119,EOMONTH(CK119,-1)+1) + 1)
/
DAY(EOMONTH(CK119,0))
),
0))</f>
        <v>757.93548387096769</v>
      </c>
    </row>
    <row r="120" spans="1:90" x14ac:dyDescent="0.2">
      <c r="A120" s="58">
        <v>138</v>
      </c>
      <c r="B120" s="58" t="s">
        <v>308</v>
      </c>
      <c r="C120" s="6">
        <v>42100</v>
      </c>
      <c r="D120" s="3">
        <f ca="1">DATEDIF(C120,TODAY(),"Y") + DATEDIF(C120,TODAY(),"YM")/10</f>
        <v>11.1</v>
      </c>
      <c r="E120" s="58" t="s">
        <v>309</v>
      </c>
      <c r="F120" s="3">
        <v>8793317502</v>
      </c>
      <c r="G120" s="7">
        <v>46121</v>
      </c>
      <c r="H120" s="7" t="str">
        <f ca="1">DATEDIF(G120,TODAY(),"M") &amp; " Months"</f>
        <v>1 Months</v>
      </c>
      <c r="I120" s="4">
        <v>46121</v>
      </c>
      <c r="J120" s="4">
        <f>EDATE(I120,1)</f>
        <v>46151</v>
      </c>
      <c r="K120" s="8">
        <v>12</v>
      </c>
      <c r="L120" s="8">
        <v>36</v>
      </c>
      <c r="M120" s="3">
        <f>I120+L120</f>
        <v>46157</v>
      </c>
      <c r="N120" s="9">
        <f ca="1">L120-(TODAY()-I120)</f>
        <v>-16</v>
      </c>
      <c r="O120" s="8" t="str">
        <f ca="1">IF(J120="","",
IF(TODAY()&lt;=J120,"Active",
IF(N120&gt;0,"Grace",
IF(N120&gt;-30,"Inactive","Freeze"))))</f>
        <v>Inactive</v>
      </c>
      <c r="P120" s="10">
        <v>3200</v>
      </c>
      <c r="Q120" s="11">
        <f>COUNTA(T120:CA120)</f>
        <v>4</v>
      </c>
      <c r="R120" s="3">
        <f>K120-Q120</f>
        <v>8</v>
      </c>
      <c r="S120" s="8" t="str">
        <f>IF(Q120&gt;=K120,"Complete","Incomplete")</f>
        <v>Incomplete</v>
      </c>
      <c r="T120" s="14">
        <v>46121</v>
      </c>
      <c r="U120" s="14">
        <v>46124</v>
      </c>
      <c r="V120" s="14">
        <v>46126</v>
      </c>
      <c r="W120" s="14">
        <v>46128</v>
      </c>
      <c r="CI120" s="4" t="str">
        <f t="shared" si="2"/>
        <v>1</v>
      </c>
      <c r="CJ120" s="13">
        <f>IF(OR(P120="",CI120=""),"",P120/CI120)</f>
        <v>3200</v>
      </c>
      <c r="CK120" s="5">
        <f t="shared" ca="1" si="3"/>
        <v>46173</v>
      </c>
      <c r="CL120" s="13">
        <f ca="1">IF(OR(I120="",J120="",CJ120="",CK120=""),"",
IF(AND(J120&gt;=EOMONTH(CK120,-1)+1,I120&lt;=EOMONTH(CK120,0)),
CJ120*
(MAX(0,MIN(J120,EOMONTH(CK120,0)) - MAX(I120,EOMONTH(CK120,-1)+1) + 1)
/
DAY(EOMONTH(CK120,0))
),
0))</f>
        <v>929.03225806451621</v>
      </c>
    </row>
    <row r="121" spans="1:90" x14ac:dyDescent="0.2">
      <c r="A121" s="58">
        <v>139</v>
      </c>
      <c r="B121" s="58" t="s">
        <v>310</v>
      </c>
      <c r="C121" s="6">
        <v>45237</v>
      </c>
      <c r="D121" s="3">
        <f ca="1">DATEDIF(C121,TODAY(),"Y") + DATEDIF(C121,TODAY(),"YM")/10</f>
        <v>2.6</v>
      </c>
      <c r="E121" s="58" t="s">
        <v>311</v>
      </c>
      <c r="F121" s="3">
        <v>7875981339</v>
      </c>
      <c r="G121" s="7">
        <v>46122</v>
      </c>
      <c r="H121" s="7" t="str">
        <f ca="1">DATEDIF(G121,TODAY(),"M") &amp; " Months"</f>
        <v>1 Months</v>
      </c>
      <c r="I121" s="4">
        <v>46122</v>
      </c>
      <c r="J121" s="4">
        <f>EDATE(I121,1)</f>
        <v>46152</v>
      </c>
      <c r="K121" s="8">
        <v>8</v>
      </c>
      <c r="L121" s="8">
        <v>34</v>
      </c>
      <c r="M121" s="3">
        <f>I121+L121</f>
        <v>46156</v>
      </c>
      <c r="N121" s="9">
        <f ca="1">L121-(TODAY()-I121)</f>
        <v>-17</v>
      </c>
      <c r="O121" s="8" t="str">
        <f ca="1">IF(J121="","",
IF(TODAY()&lt;=J121,"Active",
IF(N121&gt;0,"Grace",
IF(N121&gt;-30,"Inactive","Freeze"))))</f>
        <v>Inactive</v>
      </c>
      <c r="P121" s="10">
        <v>2600</v>
      </c>
      <c r="Q121" s="11">
        <f>COUNTA(T121:CA121)</f>
        <v>6</v>
      </c>
      <c r="R121" s="3">
        <f>K121-Q121</f>
        <v>2</v>
      </c>
      <c r="S121" s="8" t="str">
        <f>IF(Q121&gt;=K121,"Complete","Incomplete")</f>
        <v>Incomplete</v>
      </c>
      <c r="T121" s="14">
        <v>46129</v>
      </c>
      <c r="U121" s="14">
        <v>46134</v>
      </c>
      <c r="V121" s="14">
        <v>46136</v>
      </c>
      <c r="W121" s="14">
        <v>46141</v>
      </c>
      <c r="X121" s="14">
        <v>46150</v>
      </c>
      <c r="Y121" s="14">
        <v>46164</v>
      </c>
      <c r="CI121" s="4" t="str">
        <f t="shared" si="2"/>
        <v>1</v>
      </c>
      <c r="CJ121" s="13">
        <f>IF(OR(P121="",CI121=""),"",P121/CI121)</f>
        <v>2600</v>
      </c>
      <c r="CK121" s="5">
        <f t="shared" ca="1" si="3"/>
        <v>46173</v>
      </c>
      <c r="CL121" s="13">
        <f ca="1">IF(OR(I121="",J121="",CJ121="",CK121=""),"",
IF(AND(J121&gt;=EOMONTH(CK121,-1)+1,I121&lt;=EOMONTH(CK121,0)),
CJ121*
(MAX(0,MIN(J121,EOMONTH(CK121,0)) - MAX(I121,EOMONTH(CK121,-1)+1) + 1)
/
DAY(EOMONTH(CK121,0))
),
0))</f>
        <v>838.70967741935476</v>
      </c>
    </row>
    <row r="122" spans="1:90" x14ac:dyDescent="0.2">
      <c r="A122" s="58">
        <v>140</v>
      </c>
      <c r="B122" s="58" t="s">
        <v>312</v>
      </c>
      <c r="C122" s="6">
        <v>44581</v>
      </c>
      <c r="D122" s="3">
        <f ca="1">DATEDIF(C122,TODAY(),"Y") + DATEDIF(C122,TODAY(),"YM")/10</f>
        <v>4.4000000000000004</v>
      </c>
      <c r="E122" s="58" t="s">
        <v>313</v>
      </c>
      <c r="F122" s="3">
        <v>8754428893</v>
      </c>
      <c r="G122" s="7">
        <v>46123</v>
      </c>
      <c r="H122" s="7" t="str">
        <f ca="1">DATEDIF(G122,TODAY(),"M") &amp; " Months"</f>
        <v>1 Months</v>
      </c>
      <c r="I122" s="4">
        <v>46151</v>
      </c>
      <c r="J122" s="4">
        <f>EDATE(I122,1)</f>
        <v>46182</v>
      </c>
      <c r="K122" s="8">
        <v>8</v>
      </c>
      <c r="L122" s="8">
        <v>34</v>
      </c>
      <c r="M122" s="3">
        <f>I122+L122</f>
        <v>46185</v>
      </c>
      <c r="N122" s="9">
        <f ca="1">L122-(TODAY()-I122)</f>
        <v>12</v>
      </c>
      <c r="O122" s="8" t="str">
        <f ca="1">IF(J122="","",
IF(TODAY()&lt;=J122,"Active",
IF(N122&gt;0,"Grace",
IF(N122&gt;-30,"Inactive","Freeze"))))</f>
        <v>Active</v>
      </c>
      <c r="P122" s="10">
        <v>2600</v>
      </c>
      <c r="Q122" s="11">
        <f>COUNTA(T122:CA122)</f>
        <v>4</v>
      </c>
      <c r="R122" s="3">
        <f>K122-Q122</f>
        <v>4</v>
      </c>
      <c r="S122" s="8" t="str">
        <f>IF(Q122&gt;=K122,"Complete","Incomplete")</f>
        <v>Incomplete</v>
      </c>
      <c r="T122" s="14">
        <v>46151</v>
      </c>
      <c r="U122" s="17">
        <v>46154</v>
      </c>
      <c r="V122" s="14">
        <v>46161</v>
      </c>
      <c r="W122" s="14">
        <v>46168</v>
      </c>
      <c r="X122" s="14"/>
      <c r="Y122" s="14"/>
      <c r="Z122" s="14"/>
      <c r="AA122" s="14"/>
      <c r="CI122" s="4" t="str">
        <f t="shared" si="2"/>
        <v>1</v>
      </c>
      <c r="CJ122" s="13">
        <f>IF(OR(P122="",CI122=""),"",P122/CI122)</f>
        <v>2600</v>
      </c>
      <c r="CK122" s="5">
        <f t="shared" ca="1" si="3"/>
        <v>46173</v>
      </c>
      <c r="CL122" s="13">
        <f ca="1">IF(OR(I122="",J122="",CJ122="",CK122=""),"",
IF(AND(J122&gt;=EOMONTH(CK122,-1)+1,I122&lt;=EOMONTH(CK122,0)),
CJ122*
(MAX(0,MIN(J122,EOMONTH(CK122,0)) - MAX(I122,EOMONTH(CK122,-1)+1) + 1)
/
DAY(EOMONTH(CK122,0))
),
0))</f>
        <v>1929.0322580645161</v>
      </c>
    </row>
    <row r="123" spans="1:90" x14ac:dyDescent="0.2">
      <c r="A123" s="58">
        <v>141</v>
      </c>
      <c r="B123" s="58" t="s">
        <v>314</v>
      </c>
      <c r="C123" s="6">
        <v>45053</v>
      </c>
      <c r="D123" s="3">
        <f ca="1">DATEDIF(C123,TODAY(),"Y") + DATEDIF(C123,TODAY(),"YM")/10</f>
        <v>3</v>
      </c>
      <c r="E123" s="58" t="s">
        <v>315</v>
      </c>
      <c r="F123" s="3">
        <v>9960177091</v>
      </c>
      <c r="G123" s="7">
        <v>46123</v>
      </c>
      <c r="H123" s="7" t="str">
        <f ca="1">DATEDIF(G123,TODAY(),"M") &amp; " Months"</f>
        <v>1 Months</v>
      </c>
      <c r="I123" s="4">
        <v>46123</v>
      </c>
      <c r="J123" s="4">
        <f>EDATE(I123,1)</f>
        <v>46153</v>
      </c>
      <c r="K123" s="8">
        <v>12</v>
      </c>
      <c r="L123" s="8">
        <v>36</v>
      </c>
      <c r="M123" s="3">
        <f>I123+L123</f>
        <v>46159</v>
      </c>
      <c r="N123" s="9">
        <f ca="1">L123-(TODAY()-I123)</f>
        <v>-14</v>
      </c>
      <c r="O123" s="8" t="str">
        <f ca="1">IF(J123="","",
IF(TODAY()&lt;=J123,"Active",
IF(N123&gt;0,"Grace",
IF(N123&gt;-30,"Inactive","Freeze"))))</f>
        <v>Inactive</v>
      </c>
      <c r="P123" s="10">
        <v>3200</v>
      </c>
      <c r="Q123" s="11">
        <f>COUNTA(T123:CA123)</f>
        <v>11</v>
      </c>
      <c r="R123" s="3">
        <f>K123-Q123</f>
        <v>1</v>
      </c>
      <c r="S123" s="8" t="str">
        <f>IF(Q123&gt;=K123,"Complete","Incomplete")</f>
        <v>Incomplete</v>
      </c>
      <c r="T123" s="14">
        <v>46123</v>
      </c>
      <c r="U123" s="14">
        <v>46129</v>
      </c>
      <c r="V123" s="14">
        <v>46130</v>
      </c>
      <c r="W123" s="14">
        <v>46133</v>
      </c>
      <c r="X123" s="14">
        <v>46136</v>
      </c>
      <c r="Y123" s="14">
        <v>46137</v>
      </c>
      <c r="Z123" s="14">
        <v>46139</v>
      </c>
      <c r="AA123" s="14">
        <v>46143</v>
      </c>
      <c r="AB123" s="14">
        <v>46144</v>
      </c>
      <c r="AC123" s="14">
        <v>46146</v>
      </c>
      <c r="AD123" s="14">
        <v>46158</v>
      </c>
      <c r="CI123" s="4" t="str">
        <f t="shared" si="2"/>
        <v>1</v>
      </c>
      <c r="CJ123" s="13">
        <f>IF(OR(P123="",CI123=""),"",P123/CI123)</f>
        <v>3200</v>
      </c>
      <c r="CK123" s="5">
        <f t="shared" ca="1" si="3"/>
        <v>46173</v>
      </c>
      <c r="CL123" s="13">
        <f ca="1">IF(OR(I123="",J123="",CJ123="",CK123=""),"",
IF(AND(J123&gt;=EOMONTH(CK123,-1)+1,I123&lt;=EOMONTH(CK123,0)),
CJ123*
(MAX(0,MIN(J123,EOMONTH(CK123,0)) - MAX(I123,EOMONTH(CK123,-1)+1) + 1)
/
DAY(EOMONTH(CK123,0))
),
0))</f>
        <v>1135.483870967742</v>
      </c>
    </row>
    <row r="124" spans="1:90" x14ac:dyDescent="0.2">
      <c r="A124" s="58">
        <v>142</v>
      </c>
      <c r="B124" s="58" t="s">
        <v>316</v>
      </c>
      <c r="C124" s="6">
        <v>42761</v>
      </c>
      <c r="D124" s="3">
        <f ca="1">DATEDIF(C124,TODAY(),"Y") + DATEDIF(C124,TODAY(),"YM")/10</f>
        <v>9.4</v>
      </c>
      <c r="E124" s="58" t="s">
        <v>317</v>
      </c>
      <c r="F124" s="3">
        <v>8446334412</v>
      </c>
      <c r="G124" s="7">
        <v>46123</v>
      </c>
      <c r="H124" s="7" t="str">
        <f ca="1">DATEDIF(G124,TODAY(),"M") &amp; " Months"</f>
        <v>1 Months</v>
      </c>
      <c r="I124" s="4">
        <v>46151</v>
      </c>
      <c r="J124" s="4">
        <f>EDATE(I124,3)</f>
        <v>46243</v>
      </c>
      <c r="K124" s="8">
        <v>36</v>
      </c>
      <c r="L124" s="8">
        <v>108</v>
      </c>
      <c r="M124" s="3">
        <f>I124+L124</f>
        <v>46259</v>
      </c>
      <c r="N124" s="9">
        <f ca="1">L124-(TODAY()-I124)</f>
        <v>86</v>
      </c>
      <c r="O124" s="8" t="str">
        <f ca="1">IF(J124="","",
IF(TODAY()&lt;=J124,"Active",
IF(N124&gt;0,"Grace",
IF(N124&gt;-30,"Inactive","Freeze"))))</f>
        <v>Active</v>
      </c>
      <c r="P124" s="10">
        <v>8640</v>
      </c>
      <c r="Q124" s="11">
        <f>COUNTA(T124:CA124)</f>
        <v>5</v>
      </c>
      <c r="R124" s="3">
        <f>K124-Q124</f>
        <v>31</v>
      </c>
      <c r="S124" s="8" t="str">
        <f>IF(Q124&gt;=K124,"Complete","Incomplete")</f>
        <v>Incomplete</v>
      </c>
      <c r="T124" s="14">
        <v>46151</v>
      </c>
      <c r="U124" s="14">
        <v>46152</v>
      </c>
      <c r="V124" s="14">
        <v>46158</v>
      </c>
      <c r="W124" s="14">
        <v>46159</v>
      </c>
      <c r="X124" s="14">
        <v>46165</v>
      </c>
      <c r="Y124" s="14"/>
      <c r="Z124" s="14"/>
      <c r="AA124" s="14"/>
      <c r="CI124" s="4" t="str">
        <f t="shared" si="2"/>
        <v>3</v>
      </c>
      <c r="CJ124" s="13">
        <f>IF(OR(P124="",CI124=""),"",P124/CI124)</f>
        <v>2880</v>
      </c>
      <c r="CK124" s="5">
        <f t="shared" ca="1" si="3"/>
        <v>46173</v>
      </c>
      <c r="CL124" s="13">
        <f ca="1">IF(OR(I124="",J124="",CJ124="",CK124=""),"",
IF(AND(J124&gt;=EOMONTH(CK124,-1)+1,I124&lt;=EOMONTH(CK124,0)),
CJ124*
(MAX(0,MIN(J124,EOMONTH(CK124,0)) - MAX(I124,EOMONTH(CK124,-1)+1) + 1)
/
DAY(EOMONTH(CK124,0))
),
0))</f>
        <v>2136.7741935483873</v>
      </c>
    </row>
    <row r="125" spans="1:90" x14ac:dyDescent="0.2">
      <c r="A125" s="58">
        <v>143</v>
      </c>
      <c r="B125" s="58" t="s">
        <v>318</v>
      </c>
      <c r="C125" s="6">
        <v>43596</v>
      </c>
      <c r="D125" s="3">
        <f ca="1">DATEDIF(C125,TODAY(),"Y") + DATEDIF(C125,TODAY(),"YM")/10</f>
        <v>7</v>
      </c>
      <c r="E125" s="58" t="s">
        <v>317</v>
      </c>
      <c r="F125" s="3">
        <v>8446334412</v>
      </c>
      <c r="G125" s="7">
        <v>46123</v>
      </c>
      <c r="H125" s="7" t="str">
        <f ca="1">DATEDIF(G125,TODAY(),"M") &amp; " Months"</f>
        <v>1 Months</v>
      </c>
      <c r="I125" s="4">
        <v>46128</v>
      </c>
      <c r="J125" s="4">
        <f>EDATE(I125,2)</f>
        <v>46189</v>
      </c>
      <c r="K125" s="8">
        <v>60</v>
      </c>
      <c r="L125" s="8">
        <v>70</v>
      </c>
      <c r="M125" s="3">
        <f>I125+L125</f>
        <v>46198</v>
      </c>
      <c r="N125" s="9">
        <f ca="1">L125-(TODAY()-I125)</f>
        <v>25</v>
      </c>
      <c r="O125" s="8" t="str">
        <f ca="1">IF(J125="","",
IF(TODAY()&lt;=J125,"Active",
IF(N125&gt;0,"Grace",
IF(N125&gt;-30,"Inactive","Freeze"))))</f>
        <v>Active</v>
      </c>
      <c r="P125" s="10">
        <v>10200</v>
      </c>
      <c r="Q125" s="11">
        <f>COUNTA(T125:CA125)</f>
        <v>33</v>
      </c>
      <c r="R125" s="3">
        <f>K125-Q125</f>
        <v>27</v>
      </c>
      <c r="S125" s="8" t="str">
        <f>IF(Q125&gt;=K125,"Complete","Incomplete")</f>
        <v>Incomplete</v>
      </c>
      <c r="T125" s="14">
        <v>46124</v>
      </c>
      <c r="U125" s="14">
        <v>46127</v>
      </c>
      <c r="V125" s="14">
        <v>46128</v>
      </c>
      <c r="W125" s="14">
        <v>46129</v>
      </c>
      <c r="X125" s="14">
        <v>46130</v>
      </c>
      <c r="Y125" s="14">
        <v>46131</v>
      </c>
      <c r="Z125" s="14">
        <v>46132</v>
      </c>
      <c r="AA125" s="14">
        <v>46133</v>
      </c>
      <c r="AB125" s="14">
        <v>46134</v>
      </c>
      <c r="AC125" s="14">
        <v>46136</v>
      </c>
      <c r="AD125" s="14">
        <v>46137</v>
      </c>
      <c r="AE125" s="14">
        <v>46138</v>
      </c>
      <c r="AF125" s="14">
        <v>46141</v>
      </c>
      <c r="AG125" s="14">
        <v>46144</v>
      </c>
      <c r="AH125" s="14">
        <v>46145</v>
      </c>
      <c r="AI125" s="14">
        <v>46146</v>
      </c>
      <c r="AJ125" s="14">
        <v>46147</v>
      </c>
      <c r="AK125" s="14">
        <v>46148</v>
      </c>
      <c r="AL125" s="14">
        <v>46149</v>
      </c>
      <c r="AM125" s="14">
        <v>46150</v>
      </c>
      <c r="AN125" s="14">
        <v>46151</v>
      </c>
      <c r="AO125" s="14">
        <v>46152</v>
      </c>
      <c r="AP125" s="14">
        <v>46154</v>
      </c>
      <c r="AQ125" s="14">
        <v>46155</v>
      </c>
      <c r="AR125" s="14">
        <v>46156</v>
      </c>
      <c r="AS125" s="14">
        <v>46157</v>
      </c>
      <c r="AT125" s="14">
        <v>46158</v>
      </c>
      <c r="AU125" s="14">
        <v>46159</v>
      </c>
      <c r="AV125" s="14">
        <v>46160</v>
      </c>
      <c r="AW125" s="14">
        <v>46161</v>
      </c>
      <c r="AX125" s="14">
        <v>46163</v>
      </c>
      <c r="AY125" s="14">
        <v>46165</v>
      </c>
      <c r="AZ125" s="14">
        <v>46171</v>
      </c>
      <c r="CI125" s="4" t="str">
        <f t="shared" si="2"/>
        <v>3</v>
      </c>
      <c r="CJ125" s="13">
        <f>IF(OR(P125="",CI125=""),"",P125/CI125)</f>
        <v>3400</v>
      </c>
      <c r="CK125" s="5">
        <f t="shared" ca="1" si="3"/>
        <v>46173</v>
      </c>
      <c r="CL125" s="13">
        <f ca="1">IF(OR(I125="",J125="",CJ125="",CK125=""),"",
IF(AND(J125&gt;=EOMONTH(CK125,-1)+1,I125&lt;=EOMONTH(CK125,0)),
CJ125*
(MAX(0,MIN(J125,EOMONTH(CK125,0)) - MAX(I125,EOMONTH(CK125,-1)+1) + 1)
/
DAY(EOMONTH(CK125,0))
),
0))</f>
        <v>3400</v>
      </c>
    </row>
    <row r="126" spans="1:90" x14ac:dyDescent="0.2">
      <c r="A126" s="58">
        <v>144</v>
      </c>
      <c r="B126" s="58" t="s">
        <v>319</v>
      </c>
      <c r="C126" s="6">
        <v>41953</v>
      </c>
      <c r="D126" s="3">
        <f ca="1">DATEDIF(C126,TODAY(),"Y") + DATEDIF(C126,TODAY(),"YM")/10</f>
        <v>11.6</v>
      </c>
      <c r="E126" s="58" t="s">
        <v>320</v>
      </c>
      <c r="F126" s="3">
        <v>7977337488</v>
      </c>
      <c r="G126" s="7">
        <v>46123</v>
      </c>
      <c r="H126" s="7" t="str">
        <f ca="1">DATEDIF(G126,TODAY(),"M") &amp; " Months"</f>
        <v>1 Months</v>
      </c>
      <c r="I126" s="4">
        <v>46123</v>
      </c>
      <c r="J126" s="4">
        <f>EDATE(I126,1)</f>
        <v>46153</v>
      </c>
      <c r="K126" s="8">
        <v>12</v>
      </c>
      <c r="L126" s="8">
        <v>36</v>
      </c>
      <c r="M126" s="3">
        <f>I126+L126</f>
        <v>46159</v>
      </c>
      <c r="N126" s="9">
        <f ca="1">L126-(TODAY()-I126)</f>
        <v>-14</v>
      </c>
      <c r="O126" s="8" t="str">
        <f ca="1">IF(J126="","",
IF(TODAY()&lt;=J126,"Active",
IF(N126&gt;0,"Grace",
IF(N126&gt;-30,"Inactive","Freeze"))))</f>
        <v>Inactive</v>
      </c>
      <c r="P126" s="10">
        <v>3200</v>
      </c>
      <c r="Q126" s="11">
        <f>COUNTA(T126:CA126)</f>
        <v>7</v>
      </c>
      <c r="R126" s="3">
        <f>K126-Q126</f>
        <v>5</v>
      </c>
      <c r="S126" s="8" t="str">
        <f>IF(Q126&gt;=K126,"Complete","Incomplete")</f>
        <v>Incomplete</v>
      </c>
      <c r="T126" s="14">
        <v>46141</v>
      </c>
      <c r="U126" s="14">
        <v>46124</v>
      </c>
      <c r="V126" s="14">
        <v>46127</v>
      </c>
      <c r="W126" s="14">
        <v>46131</v>
      </c>
      <c r="X126" s="14">
        <v>46137</v>
      </c>
      <c r="Y126" s="14">
        <v>46138</v>
      </c>
      <c r="Z126" s="14">
        <v>46141</v>
      </c>
      <c r="CI126" s="4" t="str">
        <f t="shared" si="2"/>
        <v>1</v>
      </c>
      <c r="CJ126" s="13">
        <f>IF(OR(P126="",CI126=""),"",P126/CI126)</f>
        <v>3200</v>
      </c>
      <c r="CK126" s="5">
        <f t="shared" ca="1" si="3"/>
        <v>46173</v>
      </c>
      <c r="CL126" s="13">
        <f ca="1">IF(OR(I126="",J126="",CJ126="",CK126=""),"",
IF(AND(J126&gt;=EOMONTH(CK126,-1)+1,I126&lt;=EOMONTH(CK126,0)),
CJ126*
(MAX(0,MIN(J126,EOMONTH(CK126,0)) - MAX(I126,EOMONTH(CK126,-1)+1) + 1)
/
DAY(EOMONTH(CK126,0))
),
0))</f>
        <v>1135.483870967742</v>
      </c>
    </row>
    <row r="127" spans="1:90" x14ac:dyDescent="0.2">
      <c r="A127" s="58">
        <v>145</v>
      </c>
      <c r="B127" s="58" t="s">
        <v>321</v>
      </c>
      <c r="C127" s="6">
        <v>44594</v>
      </c>
      <c r="D127" s="3">
        <f ca="1">DATEDIF(C127,TODAY(),"Y") + DATEDIF(C127,TODAY(),"YM")/10</f>
        <v>4.3</v>
      </c>
      <c r="E127" s="58" t="s">
        <v>293</v>
      </c>
      <c r="F127" s="3">
        <v>9890467001</v>
      </c>
      <c r="G127" s="7">
        <v>46118</v>
      </c>
      <c r="H127" s="7" t="str">
        <f ca="1">DATEDIF(G127,TODAY(),"M") &amp; " Months"</f>
        <v>1 Months</v>
      </c>
      <c r="I127" s="4">
        <v>46167</v>
      </c>
      <c r="J127" s="4">
        <f>EDATE(I127,1)</f>
        <v>46198</v>
      </c>
      <c r="K127" s="8">
        <v>7</v>
      </c>
      <c r="L127" s="8">
        <v>14</v>
      </c>
      <c r="M127" s="3">
        <f>I127+L127</f>
        <v>46181</v>
      </c>
      <c r="N127" s="9">
        <f ca="1">L127-(TODAY()-I127)</f>
        <v>8</v>
      </c>
      <c r="O127" s="8" t="str">
        <f ca="1">IF(J127="","",
IF(TODAY()&lt;=J127,"Active",
IF(N127&gt;0,"Grace",
IF(N127&gt;-30,"Inactive","Freeze"))))</f>
        <v>Active</v>
      </c>
      <c r="P127" s="10">
        <v>3040</v>
      </c>
      <c r="Q127" s="11">
        <f>COUNTA(T127:CA127)</f>
        <v>3</v>
      </c>
      <c r="R127" s="3">
        <f>K127-Q127</f>
        <v>4</v>
      </c>
      <c r="S127" s="8" t="str">
        <f>IF(Q127&gt;=K127,"Complete","Incomplete")</f>
        <v>Incomplete</v>
      </c>
      <c r="T127" s="14">
        <v>46167</v>
      </c>
      <c r="U127" s="14">
        <v>46169</v>
      </c>
      <c r="V127" s="14">
        <v>46170</v>
      </c>
      <c r="W127" s="14"/>
      <c r="X127" s="14"/>
      <c r="Y127" s="14"/>
      <c r="CI127" s="4" t="str">
        <f t="shared" si="2"/>
        <v>1</v>
      </c>
      <c r="CJ127" s="13">
        <f>IF(OR(P127="",CI127=""),"",P127/CI127)</f>
        <v>3040</v>
      </c>
      <c r="CK127" s="5">
        <f t="shared" ca="1" si="3"/>
        <v>46173</v>
      </c>
      <c r="CL127" s="13">
        <f ca="1">IF(OR(I127="",J127="",CJ127="",CK127=""),"",
IF(AND(J127&gt;=EOMONTH(CK127,-1)+1,I127&lt;=EOMONTH(CK127,0)),
CJ127*
(MAX(0,MIN(J127,EOMONTH(CK127,0)) - MAX(I127,EOMONTH(CK127,-1)+1) + 1)
/
DAY(EOMONTH(CK127,0))
),
0))</f>
        <v>686.45161290322574</v>
      </c>
    </row>
    <row r="128" spans="1:90" x14ac:dyDescent="0.2">
      <c r="A128" s="58">
        <v>146</v>
      </c>
      <c r="B128" s="58" t="s">
        <v>322</v>
      </c>
      <c r="C128" s="6">
        <v>44171</v>
      </c>
      <c r="D128" s="3">
        <f ca="1">DATEDIF(C128,TODAY(),"Y") + DATEDIF(C128,TODAY(),"YM")/10</f>
        <v>5.5</v>
      </c>
      <c r="E128" s="58" t="s">
        <v>323</v>
      </c>
      <c r="F128" s="3">
        <v>9561264843</v>
      </c>
      <c r="G128" s="7">
        <v>46126</v>
      </c>
      <c r="H128" s="7" t="str">
        <f ca="1">DATEDIF(G128,TODAY(),"M") &amp; " Months"</f>
        <v>1 Months</v>
      </c>
      <c r="I128" s="4">
        <v>46126</v>
      </c>
      <c r="J128" s="4">
        <f>EDATE(I128,3)</f>
        <v>46217</v>
      </c>
      <c r="K128" s="8">
        <v>36</v>
      </c>
      <c r="L128" s="8">
        <v>108</v>
      </c>
      <c r="M128" s="3">
        <f>I128+L128</f>
        <v>46234</v>
      </c>
      <c r="N128" s="9">
        <f ca="1">L128-(TODAY()-I128)</f>
        <v>61</v>
      </c>
      <c r="O128" s="8" t="str">
        <f ca="1">IF(J128="","",
IF(TODAY()&lt;=J128,"Active",
IF(N128&gt;0,"Grace",
IF(N128&gt;-30,"Inactive","Freeze"))))</f>
        <v>Active</v>
      </c>
      <c r="P128" s="10">
        <v>8640</v>
      </c>
      <c r="Q128" s="11">
        <f>COUNTA(T128:CA128)</f>
        <v>9</v>
      </c>
      <c r="R128" s="3">
        <f>K128-Q128</f>
        <v>27</v>
      </c>
      <c r="S128" s="8" t="str">
        <f>IF(Q128&gt;=K128,"Complete","Incomplete")</f>
        <v>Incomplete</v>
      </c>
      <c r="T128" s="14">
        <v>46128</v>
      </c>
      <c r="U128" s="14">
        <v>46135</v>
      </c>
      <c r="V128" s="14">
        <v>46140</v>
      </c>
      <c r="W128" s="14">
        <v>46149</v>
      </c>
      <c r="X128" s="14">
        <v>46154</v>
      </c>
      <c r="Y128" s="14">
        <v>46156</v>
      </c>
      <c r="Z128" s="14">
        <v>46161</v>
      </c>
      <c r="AA128" s="14">
        <v>46163</v>
      </c>
      <c r="AB128" s="14">
        <v>46168</v>
      </c>
      <c r="CI128" s="4" t="str">
        <f t="shared" si="2"/>
        <v>3</v>
      </c>
      <c r="CJ128" s="13">
        <f>IF(OR(P128="",CI128=""),"",P128/CI128)</f>
        <v>2880</v>
      </c>
      <c r="CK128" s="5">
        <f t="shared" ca="1" si="3"/>
        <v>46173</v>
      </c>
      <c r="CL128" s="13">
        <f ca="1">IF(OR(I128="",J128="",CJ128="",CK128=""),"",
IF(AND(J128&gt;=EOMONTH(CK128,-1)+1,I128&lt;=EOMONTH(CK128,0)),
CJ128*
(MAX(0,MIN(J128,EOMONTH(CK128,0)) - MAX(I128,EOMONTH(CK128,-1)+1) + 1)
/
DAY(EOMONTH(CK128,0))
),
0))</f>
        <v>2880</v>
      </c>
    </row>
    <row r="129" spans="1:90" x14ac:dyDescent="0.2">
      <c r="A129" s="58">
        <v>147</v>
      </c>
      <c r="B129" s="58" t="s">
        <v>324</v>
      </c>
      <c r="C129" s="6">
        <v>44593</v>
      </c>
      <c r="D129" s="3">
        <f ca="1">DATEDIF(C129,TODAY(),"Y") + DATEDIF(C129,TODAY(),"YM")/10</f>
        <v>4.3</v>
      </c>
      <c r="E129" s="58" t="s">
        <v>325</v>
      </c>
      <c r="F129" s="3">
        <v>8369355574</v>
      </c>
      <c r="G129" s="7">
        <v>46125</v>
      </c>
      <c r="H129" s="7" t="str">
        <f ca="1">DATEDIF(G129,TODAY(),"M") &amp; " Months"</f>
        <v>1 Months</v>
      </c>
      <c r="I129" s="4">
        <v>46124</v>
      </c>
      <c r="J129" s="4">
        <f>EDATE(I129,1)</f>
        <v>46154</v>
      </c>
      <c r="K129" s="8">
        <v>12</v>
      </c>
      <c r="L129" s="8">
        <v>36</v>
      </c>
      <c r="M129" s="3">
        <f>I129+L129</f>
        <v>46160</v>
      </c>
      <c r="N129" s="9">
        <f ca="1">L129-(TODAY()-I129)</f>
        <v>-13</v>
      </c>
      <c r="O129" s="8" t="str">
        <f ca="1">IF(J129="","",
IF(TODAY()&lt;=J129,"Active",
IF(N129&gt;0,"Grace",
IF(N129&gt;-30,"Inactive","Freeze"))))</f>
        <v>Inactive</v>
      </c>
      <c r="P129" s="10">
        <v>3200</v>
      </c>
      <c r="Q129" s="11">
        <f>COUNTA(T129:CA129)</f>
        <v>7</v>
      </c>
      <c r="R129" s="3">
        <f>K129-Q129</f>
        <v>5</v>
      </c>
      <c r="S129" s="8" t="str">
        <f>IF(Q129&gt;=K129,"Complete","Incomplete")</f>
        <v>Incomplete</v>
      </c>
      <c r="T129" s="14">
        <v>46124</v>
      </c>
      <c r="U129" s="14">
        <v>46127</v>
      </c>
      <c r="V129" s="14">
        <v>46129</v>
      </c>
      <c r="W129" s="14">
        <v>46141</v>
      </c>
      <c r="X129" s="14">
        <v>46146</v>
      </c>
      <c r="Y129" s="14">
        <v>46148</v>
      </c>
      <c r="Z129" s="14">
        <v>46171</v>
      </c>
      <c r="CI129" s="4" t="str">
        <f t="shared" si="2"/>
        <v>1</v>
      </c>
      <c r="CJ129" s="13">
        <f>IF(OR(P129="",CI129=""),"",P129/CI129)</f>
        <v>3200</v>
      </c>
      <c r="CK129" s="5">
        <f t="shared" ca="1" si="3"/>
        <v>46173</v>
      </c>
      <c r="CL129" s="13">
        <f ca="1">IF(OR(I129="",J129="",CJ129="",CK129=""),"",
IF(AND(J129&gt;=EOMONTH(CK129,-1)+1,I129&lt;=EOMONTH(CK129,0)),
CJ129*
(MAX(0,MIN(J129,EOMONTH(CK129,0)) - MAX(I129,EOMONTH(CK129,-1)+1) + 1)
/
DAY(EOMONTH(CK129,0))
),
0))</f>
        <v>1238.7096774193549</v>
      </c>
    </row>
    <row r="130" spans="1:90" x14ac:dyDescent="0.2">
      <c r="A130" s="58">
        <v>148</v>
      </c>
      <c r="B130" s="58" t="s">
        <v>326</v>
      </c>
      <c r="C130" s="6">
        <v>43781</v>
      </c>
      <c r="D130" s="3">
        <f ca="1">DATEDIF(C130,TODAY(),"Y") + DATEDIF(C130,TODAY(),"YM")/10</f>
        <v>6.6</v>
      </c>
      <c r="E130" s="58" t="s">
        <v>327</v>
      </c>
      <c r="F130" s="3">
        <v>7020768099</v>
      </c>
      <c r="G130" s="7">
        <v>46125</v>
      </c>
      <c r="H130" s="7" t="str">
        <f ca="1">DATEDIF(G130,TODAY(),"M") &amp; " Months"</f>
        <v>1 Months</v>
      </c>
      <c r="I130" s="4">
        <v>46125</v>
      </c>
      <c r="J130" s="4">
        <f>EDATE(I130,1)</f>
        <v>46155</v>
      </c>
      <c r="K130" s="8">
        <v>12</v>
      </c>
      <c r="L130" s="8">
        <v>36</v>
      </c>
      <c r="M130" s="3">
        <f>I130+L130</f>
        <v>46161</v>
      </c>
      <c r="N130" s="9">
        <f ca="1">L130-(TODAY()-I130)</f>
        <v>-12</v>
      </c>
      <c r="O130" s="8" t="str">
        <f ca="1">IF(J130="","",
IF(TODAY()&lt;=J130,"Active",
IF(N130&gt;0,"Grace",
IF(N130&gt;-30,"Inactive","Freeze"))))</f>
        <v>Inactive</v>
      </c>
      <c r="P130" s="10">
        <v>3200</v>
      </c>
      <c r="Q130" s="11">
        <f>COUNTA(T130:CA130)</f>
        <v>8</v>
      </c>
      <c r="R130" s="3">
        <f>K130-Q130</f>
        <v>4</v>
      </c>
      <c r="S130" s="8" t="str">
        <f>IF(Q130&gt;=K130,"Complete","Incomplete")</f>
        <v>Incomplete</v>
      </c>
      <c r="T130" s="14">
        <v>46125</v>
      </c>
      <c r="U130" s="14">
        <v>46128</v>
      </c>
      <c r="V130" s="14">
        <v>46130</v>
      </c>
      <c r="W130" s="14">
        <v>46133</v>
      </c>
      <c r="X130" s="14">
        <v>46136</v>
      </c>
      <c r="Y130" s="14">
        <v>46141</v>
      </c>
      <c r="Z130" s="14">
        <v>46156</v>
      </c>
      <c r="AA130" s="14">
        <v>46161</v>
      </c>
      <c r="CI130" s="4" t="str">
        <f t="shared" si="2"/>
        <v>1</v>
      </c>
      <c r="CJ130" s="13">
        <f>IF(OR(P130="",CI130=""),"",P130/CI130)</f>
        <v>3200</v>
      </c>
      <c r="CK130" s="5">
        <f t="shared" ca="1" si="3"/>
        <v>46173</v>
      </c>
      <c r="CL130" s="13">
        <f ca="1">IF(OR(I130="",J130="",CJ130="",CK130=""),"",
IF(AND(J130&gt;=EOMONTH(CK130,-1)+1,I130&lt;=EOMONTH(CK130,0)),
CJ130*
(MAX(0,MIN(J130,EOMONTH(CK130,0)) - MAX(I130,EOMONTH(CK130,-1)+1) + 1)
/
DAY(EOMONTH(CK130,0))
),
0))</f>
        <v>1341.9354838709678</v>
      </c>
    </row>
    <row r="131" spans="1:90" x14ac:dyDescent="0.2">
      <c r="A131" s="58">
        <v>149</v>
      </c>
      <c r="B131" s="58" t="s">
        <v>328</v>
      </c>
      <c r="C131" s="6">
        <v>45192</v>
      </c>
      <c r="D131" s="3">
        <f ca="1">DATEDIF(C131,TODAY(),"Y") + DATEDIF(C131,TODAY(),"YM")/10</f>
        <v>2.8</v>
      </c>
      <c r="E131" s="58" t="s">
        <v>329</v>
      </c>
      <c r="F131" s="3">
        <v>8087690433</v>
      </c>
      <c r="G131" s="7">
        <v>46127</v>
      </c>
      <c r="H131" s="7" t="str">
        <f ca="1">DATEDIF(G131,TODAY(),"M") &amp; " Months"</f>
        <v>1 Months</v>
      </c>
      <c r="I131" s="4">
        <v>46164</v>
      </c>
      <c r="J131" s="4">
        <f>EDATE(I131,1)</f>
        <v>46195</v>
      </c>
      <c r="K131" s="8">
        <v>7</v>
      </c>
      <c r="L131" s="8">
        <v>36</v>
      </c>
      <c r="M131" s="3">
        <f>I131+L131</f>
        <v>46200</v>
      </c>
      <c r="N131" s="9">
        <f ca="1">L131-(TODAY()-I131)</f>
        <v>27</v>
      </c>
      <c r="O131" s="8" t="str">
        <f ca="1">IF(J131="","",
IF(TODAY()&lt;=J131,"Active",
IF(N131&gt;0,"Grace",
IF(N131&gt;-30,"Inactive","Freeze"))))</f>
        <v>Active</v>
      </c>
      <c r="P131" s="10">
        <v>1869</v>
      </c>
      <c r="Q131" s="11">
        <f>COUNTA(T131:CA131)</f>
        <v>3</v>
      </c>
      <c r="R131" s="3">
        <f>K131-Q131</f>
        <v>4</v>
      </c>
      <c r="S131" s="8" t="str">
        <f>IF(Q131&gt;=K131,"Complete","Incomplete")</f>
        <v>Incomplete</v>
      </c>
      <c r="T131" s="14">
        <v>46157</v>
      </c>
      <c r="U131" s="14">
        <v>46160</v>
      </c>
      <c r="V131" s="14">
        <v>46171</v>
      </c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CI131" s="4" t="str">
        <f t="shared" si="2"/>
        <v>1</v>
      </c>
      <c r="CJ131" s="13">
        <f>IF(OR(P131="",CI131=""),"",P131/CI131)</f>
        <v>1869</v>
      </c>
      <c r="CK131" s="5">
        <f t="shared" ca="1" si="3"/>
        <v>46173</v>
      </c>
      <c r="CL131" s="13">
        <f ca="1">IF(OR(I131="",J131="",CJ131="",CK131=""),"",
IF(AND(J131&gt;=EOMONTH(CK131,-1)+1,I131&lt;=EOMONTH(CK131,0)),
CJ131*
(MAX(0,MIN(J131,EOMONTH(CK131,0)) - MAX(I131,EOMONTH(CK131,-1)+1) + 1)
/
DAY(EOMONTH(CK131,0))
),
0))</f>
        <v>602.90322580645159</v>
      </c>
    </row>
    <row r="132" spans="1:90" x14ac:dyDescent="0.2">
      <c r="A132" s="58">
        <v>150</v>
      </c>
      <c r="B132" s="58" t="s">
        <v>330</v>
      </c>
      <c r="C132" s="6">
        <v>42765</v>
      </c>
      <c r="D132" s="3">
        <f ca="1">DATEDIF(C132,TODAY(),"Y") + DATEDIF(C132,TODAY(),"YM")/10</f>
        <v>9.4</v>
      </c>
      <c r="E132" s="58" t="s">
        <v>331</v>
      </c>
      <c r="F132" s="3">
        <v>9503588728</v>
      </c>
      <c r="G132" s="7">
        <v>46128</v>
      </c>
      <c r="H132" s="7" t="str">
        <f ca="1">DATEDIF(G132,TODAY(),"M") &amp; " Months"</f>
        <v>1 Months</v>
      </c>
      <c r="I132" s="4">
        <v>46128</v>
      </c>
      <c r="J132" s="4">
        <f>EDATE(I132,1)</f>
        <v>46158</v>
      </c>
      <c r="K132" s="8">
        <v>12</v>
      </c>
      <c r="L132" s="8">
        <v>36</v>
      </c>
      <c r="M132" s="3">
        <f>I132+L132</f>
        <v>46164</v>
      </c>
      <c r="N132" s="9">
        <f ca="1">L132-(TODAY()-I132)</f>
        <v>-9</v>
      </c>
      <c r="O132" s="8" t="str">
        <f ca="1">IF(J132="","",
IF(TODAY()&lt;=J132,"Active",
IF(N132&gt;0,"Grace",
IF(N132&gt;-30,"Inactive","Freeze"))))</f>
        <v>Inactive</v>
      </c>
      <c r="P132" s="10">
        <v>3200</v>
      </c>
      <c r="Q132" s="11">
        <f>COUNTA(T132:CA132)</f>
        <v>11</v>
      </c>
      <c r="R132" s="3">
        <f>K132-Q132</f>
        <v>1</v>
      </c>
      <c r="S132" s="8" t="str">
        <f>IF(Q132&gt;=K132,"Complete","Incomplete")</f>
        <v>Incomplete</v>
      </c>
      <c r="T132" s="14">
        <v>46128</v>
      </c>
      <c r="U132" s="14">
        <v>46135</v>
      </c>
      <c r="V132" s="14">
        <v>46137</v>
      </c>
      <c r="W132" s="14">
        <v>46144</v>
      </c>
      <c r="X132" s="14">
        <v>46147</v>
      </c>
      <c r="Y132" s="14">
        <v>46149</v>
      </c>
      <c r="Z132" s="14">
        <v>46151</v>
      </c>
      <c r="AA132" s="14">
        <v>46156</v>
      </c>
      <c r="AB132" s="14">
        <v>46158</v>
      </c>
      <c r="AC132" s="14">
        <v>46161</v>
      </c>
      <c r="AD132" s="14">
        <v>46168</v>
      </c>
      <c r="CI132" s="4" t="str">
        <f t="shared" ref="CI132:CI195" si="4">IF(OR(I132="",J132=""),"",
IF(J132-I132&lt;=31,"1",
IF(J132-I132&lt;=93,"3","")))</f>
        <v>1</v>
      </c>
      <c r="CJ132" s="13">
        <f>IF(OR(P132="",CI132=""),"",P132/CI132)</f>
        <v>3200</v>
      </c>
      <c r="CK132" s="5">
        <f t="shared" ref="CK132:CK195" ca="1" si="5">CK131</f>
        <v>46173</v>
      </c>
      <c r="CL132" s="13">
        <f ca="1">IF(OR(I132="",J132="",CJ132="",CK132=""),"",
IF(AND(J132&gt;=EOMONTH(CK132,-1)+1,I132&lt;=EOMONTH(CK132,0)),
CJ132*
(MAX(0,MIN(J132,EOMONTH(CK132,0)) - MAX(I132,EOMONTH(CK132,-1)+1) + 1)
/
DAY(EOMONTH(CK132,0))
),
0))</f>
        <v>1651.6129032258063</v>
      </c>
    </row>
    <row r="133" spans="1:90" x14ac:dyDescent="0.2">
      <c r="A133" s="58">
        <v>151</v>
      </c>
      <c r="B133" s="58" t="s">
        <v>332</v>
      </c>
      <c r="C133" s="6">
        <v>43079</v>
      </c>
      <c r="D133" s="3">
        <f ca="1">DATEDIF(C133,TODAY(),"Y") + DATEDIF(C133,TODAY(),"YM")/10</f>
        <v>8.5</v>
      </c>
      <c r="E133" s="58" t="s">
        <v>333</v>
      </c>
      <c r="F133" s="3">
        <v>9422947224</v>
      </c>
      <c r="G133" s="7">
        <v>46129</v>
      </c>
      <c r="H133" s="7" t="str">
        <f ca="1">DATEDIF(G133,TODAY(),"M") &amp; " Months"</f>
        <v>1 Months</v>
      </c>
      <c r="I133" s="4">
        <v>46129</v>
      </c>
      <c r="J133" s="4">
        <f>EDATE(I133,1)</f>
        <v>46159</v>
      </c>
      <c r="K133" s="8">
        <v>14</v>
      </c>
      <c r="L133" s="8">
        <v>36</v>
      </c>
      <c r="M133" s="3">
        <f>I133+L133</f>
        <v>46165</v>
      </c>
      <c r="N133" s="9">
        <f ca="1">L133-(TODAY()-I133)</f>
        <v>-8</v>
      </c>
      <c r="O133" s="8" t="str">
        <f ca="1">IF(J133="","",
IF(TODAY()&lt;=J133,"Active",
IF(N133&gt;0,"Grace",
IF(N133&gt;-30,"Inactive","Freeze"))))</f>
        <v>Inactive</v>
      </c>
      <c r="P133" s="10">
        <v>3200</v>
      </c>
      <c r="Q133" s="11">
        <f>COUNTA(T133:CA133)</f>
        <v>10</v>
      </c>
      <c r="R133" s="3">
        <f>K133-Q133</f>
        <v>4</v>
      </c>
      <c r="S133" s="8" t="str">
        <f>IF(Q133&gt;=K133,"Complete","Incomplete")</f>
        <v>Incomplete</v>
      </c>
      <c r="T133" s="14">
        <v>46130</v>
      </c>
      <c r="U133" s="14">
        <v>46132</v>
      </c>
      <c r="V133" s="14">
        <v>46135</v>
      </c>
      <c r="W133" s="14">
        <v>46136</v>
      </c>
      <c r="X133" s="14">
        <v>46143</v>
      </c>
      <c r="Y133" s="14">
        <v>46144</v>
      </c>
      <c r="Z133" s="14">
        <v>46147</v>
      </c>
      <c r="AA133" s="14">
        <v>46154</v>
      </c>
      <c r="AB133" s="14">
        <v>46157</v>
      </c>
      <c r="AC133" s="14">
        <v>46159</v>
      </c>
      <c r="CI133" s="4" t="str">
        <f t="shared" si="4"/>
        <v>1</v>
      </c>
      <c r="CJ133" s="13">
        <f>IF(OR(P133="",CI133=""),"",P133/CI133)</f>
        <v>3200</v>
      </c>
      <c r="CK133" s="5">
        <f t="shared" ca="1" si="5"/>
        <v>46173</v>
      </c>
      <c r="CL133" s="13">
        <f ca="1">IF(OR(I133="",J133="",CJ133="",CK133=""),"",
IF(AND(J133&gt;=EOMONTH(CK133,-1)+1,I133&lt;=EOMONTH(CK133,0)),
CJ133*
(MAX(0,MIN(J133,EOMONTH(CK133,0)) - MAX(I133,EOMONTH(CK133,-1)+1) + 1)
/
DAY(EOMONTH(CK133,0))
),
0))</f>
        <v>1754.8387096774193</v>
      </c>
    </row>
    <row r="134" spans="1:90" x14ac:dyDescent="0.2">
      <c r="A134" s="58">
        <v>152</v>
      </c>
      <c r="B134" s="58" t="s">
        <v>334</v>
      </c>
      <c r="C134" s="6">
        <v>43108</v>
      </c>
      <c r="D134" s="3">
        <f ca="1">DATEDIF(C134,TODAY(),"Y") + DATEDIF(C134,TODAY(),"YM")/10</f>
        <v>8.4</v>
      </c>
      <c r="E134" s="58" t="s">
        <v>335</v>
      </c>
      <c r="F134" s="3">
        <v>9890073799</v>
      </c>
      <c r="G134" s="7">
        <v>46127</v>
      </c>
      <c r="H134" s="7" t="str">
        <f ca="1">DATEDIF(G134,TODAY(),"M") &amp; " Months"</f>
        <v>1 Months</v>
      </c>
      <c r="I134" s="4">
        <v>46127</v>
      </c>
      <c r="J134" s="4">
        <f>EDATE(I134,1)</f>
        <v>46157</v>
      </c>
      <c r="K134" s="8">
        <v>12</v>
      </c>
      <c r="L134" s="8">
        <v>36</v>
      </c>
      <c r="M134" s="3">
        <f>I134+L134</f>
        <v>46163</v>
      </c>
      <c r="N134" s="9">
        <f ca="1">L134-(TODAY()-I134)</f>
        <v>-10</v>
      </c>
      <c r="O134" s="8" t="str">
        <f ca="1">IF(J134="","",
IF(TODAY()&lt;=J134,"Active",
IF(N134&gt;0,"Grace",
IF(N134&gt;-30,"Inactive","Freeze"))))</f>
        <v>Inactive</v>
      </c>
      <c r="P134" s="10">
        <v>3200</v>
      </c>
      <c r="Q134" s="11">
        <f>COUNTA(T134:CA134)</f>
        <v>8</v>
      </c>
      <c r="R134" s="3">
        <f>K134-Q134</f>
        <v>4</v>
      </c>
      <c r="S134" s="8" t="str">
        <f>IF(Q134&gt;=K134,"Complete","Incomplete")</f>
        <v>Incomplete</v>
      </c>
      <c r="T134" s="14">
        <v>46127</v>
      </c>
      <c r="U134" s="14">
        <v>46129</v>
      </c>
      <c r="V134" s="14">
        <v>46132</v>
      </c>
      <c r="W134" s="14">
        <v>46134</v>
      </c>
      <c r="X134" s="14">
        <v>46141</v>
      </c>
      <c r="Y134" s="14">
        <v>46143</v>
      </c>
      <c r="Z134" s="14">
        <v>46146</v>
      </c>
      <c r="AA134" s="14">
        <v>46150</v>
      </c>
      <c r="CI134" s="4" t="str">
        <f t="shared" si="4"/>
        <v>1</v>
      </c>
      <c r="CJ134" s="13">
        <f>IF(OR(P134="",CI134=""),"",P134/CI134)</f>
        <v>3200</v>
      </c>
      <c r="CK134" s="5">
        <f t="shared" ca="1" si="5"/>
        <v>46173</v>
      </c>
      <c r="CL134" s="13">
        <f ca="1">IF(OR(I134="",J134="",CJ134="",CK134=""),"",
IF(AND(J134&gt;=EOMONTH(CK134,-1)+1,I134&lt;=EOMONTH(CK134,0)),
CJ134*
(MAX(0,MIN(J134,EOMONTH(CK134,0)) - MAX(I134,EOMONTH(CK134,-1)+1) + 1)
/
DAY(EOMONTH(CK134,0))
),
0))</f>
        <v>1548.3870967741937</v>
      </c>
    </row>
    <row r="135" spans="1:90" x14ac:dyDescent="0.2">
      <c r="A135" s="58">
        <v>153</v>
      </c>
      <c r="B135" s="58" t="s">
        <v>336</v>
      </c>
      <c r="C135" s="6">
        <v>45259</v>
      </c>
      <c r="D135" s="3">
        <f ca="1">DATEDIF(C135,TODAY(),"Y") + DATEDIF(C135,TODAY(),"YM")/10</f>
        <v>2.6</v>
      </c>
      <c r="E135" s="58" t="s">
        <v>337</v>
      </c>
      <c r="F135" s="3">
        <v>9822504053</v>
      </c>
      <c r="G135" s="7">
        <v>46116</v>
      </c>
      <c r="H135" s="7" t="str">
        <f ca="1">DATEDIF(G135,TODAY(),"M") &amp; " Months"</f>
        <v>1 Months</v>
      </c>
      <c r="I135" s="4">
        <v>46116</v>
      </c>
      <c r="J135" s="4">
        <f>EDATE(I135,1)</f>
        <v>46146</v>
      </c>
      <c r="K135" s="8">
        <v>8</v>
      </c>
      <c r="L135" s="8">
        <v>34</v>
      </c>
      <c r="M135" s="3">
        <f>I135+L135</f>
        <v>46150</v>
      </c>
      <c r="N135" s="9">
        <f ca="1">L135-(TODAY()-I135)</f>
        <v>-23</v>
      </c>
      <c r="O135" s="8" t="str">
        <f ca="1">IF(J135="","",
IF(TODAY()&lt;=J135,"Active",
IF(N135&gt;0,"Grace",
IF(N135&gt;-30,"Inactive","Freeze"))))</f>
        <v>Inactive</v>
      </c>
      <c r="P135" s="10">
        <v>2600</v>
      </c>
      <c r="Q135" s="11">
        <f>COUNTA(T135:CA135)</f>
        <v>4</v>
      </c>
      <c r="R135" s="3">
        <f>K135-Q135</f>
        <v>4</v>
      </c>
      <c r="S135" s="8" t="str">
        <f>IF(Q135&gt;=K135,"Complete","Incomplete")</f>
        <v>Incomplete</v>
      </c>
      <c r="T135" s="14">
        <v>46116</v>
      </c>
      <c r="U135" s="17">
        <v>46131</v>
      </c>
      <c r="V135" s="14">
        <v>46144</v>
      </c>
      <c r="W135" s="14">
        <v>46145</v>
      </c>
      <c r="CI135" s="4" t="str">
        <f t="shared" si="4"/>
        <v>1</v>
      </c>
      <c r="CJ135" s="13">
        <f>IF(OR(P135="",CI135=""),"",P135/CI135)</f>
        <v>2600</v>
      </c>
      <c r="CK135" s="5">
        <f t="shared" ca="1" si="5"/>
        <v>46173</v>
      </c>
      <c r="CL135" s="13">
        <f ca="1">IF(OR(I135="",J135="",CJ135="",CK135=""),"",
IF(AND(J135&gt;=EOMONTH(CK135,-1)+1,I135&lt;=EOMONTH(CK135,0)),
CJ135*
(MAX(0,MIN(J135,EOMONTH(CK135,0)) - MAX(I135,EOMONTH(CK135,-1)+1) + 1)
/
DAY(EOMONTH(CK135,0))
),
0))</f>
        <v>335.48387096774195</v>
      </c>
    </row>
    <row r="136" spans="1:90" x14ac:dyDescent="0.2">
      <c r="A136" s="58">
        <v>154</v>
      </c>
      <c r="B136" s="58" t="s">
        <v>338</v>
      </c>
      <c r="C136" s="6">
        <v>45176</v>
      </c>
      <c r="D136" s="3">
        <f ca="1">DATEDIF(C136,TODAY(),"Y") + DATEDIF(C136,TODAY(),"YM")/10</f>
        <v>2.8</v>
      </c>
      <c r="E136" s="58" t="s">
        <v>339</v>
      </c>
      <c r="F136" s="3">
        <v>7741033805</v>
      </c>
      <c r="G136" s="7">
        <v>46132</v>
      </c>
      <c r="H136" s="7" t="str">
        <f ca="1">DATEDIF(G136,TODAY(),"M") &amp; " Months"</f>
        <v>1 Months</v>
      </c>
      <c r="I136" s="4">
        <v>46132</v>
      </c>
      <c r="J136" s="4">
        <f>EDATE(I136,1)</f>
        <v>46162</v>
      </c>
      <c r="K136" s="8">
        <v>12</v>
      </c>
      <c r="L136" s="8">
        <v>36</v>
      </c>
      <c r="M136" s="3">
        <f>I136+L136</f>
        <v>46168</v>
      </c>
      <c r="N136" s="9">
        <f ca="1">L136-(TODAY()-I136)</f>
        <v>-5</v>
      </c>
      <c r="O136" s="8" t="str">
        <f ca="1">IF(J136="","",
IF(TODAY()&lt;=J136,"Active",
IF(N136&gt;0,"Grace",
IF(N136&gt;-30,"Inactive","Freeze"))))</f>
        <v>Inactive</v>
      </c>
      <c r="P136" s="10">
        <v>3200</v>
      </c>
      <c r="Q136" s="11">
        <f>COUNTA(T136:CA136)</f>
        <v>4</v>
      </c>
      <c r="R136" s="3">
        <f>K136-Q136</f>
        <v>8</v>
      </c>
      <c r="S136" s="8" t="str">
        <f>IF(Q136&gt;=K136,"Complete","Incomplete")</f>
        <v>Incomplete</v>
      </c>
      <c r="T136" s="14">
        <v>46141</v>
      </c>
      <c r="U136" s="14">
        <v>46143</v>
      </c>
      <c r="V136" s="14">
        <v>46146</v>
      </c>
      <c r="W136" s="14">
        <v>46150</v>
      </c>
      <c r="CI136" s="4" t="str">
        <f t="shared" si="4"/>
        <v>1</v>
      </c>
      <c r="CJ136" s="13">
        <f>IF(OR(P136="",CI136=""),"",P136/CI136)</f>
        <v>3200</v>
      </c>
      <c r="CK136" s="5">
        <f t="shared" ca="1" si="5"/>
        <v>46173</v>
      </c>
      <c r="CL136" s="13">
        <f ca="1">IF(OR(I136="",J136="",CJ136="",CK136=""),"",
IF(AND(J136&gt;=EOMONTH(CK136,-1)+1,I136&lt;=EOMONTH(CK136,0)),
CJ136*
(MAX(0,MIN(J136,EOMONTH(CK136,0)) - MAX(I136,EOMONTH(CK136,-1)+1) + 1)
/
DAY(EOMONTH(CK136,0))
),
0))</f>
        <v>2064.516129032258</v>
      </c>
    </row>
    <row r="137" spans="1:90" x14ac:dyDescent="0.2">
      <c r="A137" s="58">
        <v>155</v>
      </c>
      <c r="B137" s="58" t="s">
        <v>340</v>
      </c>
      <c r="C137" s="6">
        <v>44863</v>
      </c>
      <c r="D137" s="3">
        <f ca="1">DATEDIF(C137,TODAY(),"Y") + DATEDIF(C137,TODAY(),"YM")/10</f>
        <v>3.7</v>
      </c>
      <c r="E137" s="58" t="s">
        <v>341</v>
      </c>
      <c r="F137" s="3">
        <v>9834046695</v>
      </c>
      <c r="G137" s="7">
        <v>46133</v>
      </c>
      <c r="H137" s="7" t="str">
        <f ca="1">DATEDIF(G137,TODAY(),"M") &amp; " Months"</f>
        <v>1 Months</v>
      </c>
      <c r="I137" s="4">
        <v>46133</v>
      </c>
      <c r="J137" s="4">
        <f>EDATE(I137,1)</f>
        <v>46163</v>
      </c>
      <c r="K137" s="8">
        <v>12</v>
      </c>
      <c r="L137" s="8">
        <v>36</v>
      </c>
      <c r="M137" s="3">
        <f>I137+L137</f>
        <v>46169</v>
      </c>
      <c r="N137" s="9">
        <f ca="1">L137-(TODAY()-I137)</f>
        <v>-4</v>
      </c>
      <c r="O137" s="8" t="str">
        <f ca="1">IF(J137="","",
IF(TODAY()&lt;=J137,"Active",
IF(N137&gt;0,"Grace",
IF(N137&gt;-30,"Inactive","Freeze"))))</f>
        <v>Inactive</v>
      </c>
      <c r="P137" s="10">
        <v>3200</v>
      </c>
      <c r="Q137" s="11">
        <f>COUNTA(T137:CA137)</f>
        <v>13</v>
      </c>
      <c r="R137" s="3">
        <f>K137-Q137</f>
        <v>-1</v>
      </c>
      <c r="S137" s="8" t="str">
        <f>IF(Q137&gt;=K137,"Complete","Incomplete")</f>
        <v>Complete</v>
      </c>
      <c r="T137" s="14">
        <v>46133</v>
      </c>
      <c r="U137" s="14">
        <v>46137</v>
      </c>
      <c r="V137" s="14">
        <v>46139</v>
      </c>
      <c r="W137" s="14">
        <v>46144</v>
      </c>
      <c r="X137" s="14">
        <v>46147</v>
      </c>
      <c r="Y137" s="14">
        <v>46150</v>
      </c>
      <c r="Z137" s="14">
        <v>46151</v>
      </c>
      <c r="AA137" s="14">
        <v>46153</v>
      </c>
      <c r="AB137" s="14">
        <v>46155</v>
      </c>
      <c r="AC137" s="14">
        <v>46160</v>
      </c>
      <c r="AD137" s="14">
        <v>46164</v>
      </c>
      <c r="AE137" s="14">
        <v>46166</v>
      </c>
      <c r="AF137" s="14">
        <v>46168</v>
      </c>
      <c r="CI137" s="4" t="str">
        <f t="shared" si="4"/>
        <v>1</v>
      </c>
      <c r="CJ137" s="13">
        <f>IF(OR(P137="",CI137=""),"",P137/CI137)</f>
        <v>3200</v>
      </c>
      <c r="CK137" s="5">
        <f t="shared" ca="1" si="5"/>
        <v>46173</v>
      </c>
      <c r="CL137" s="13">
        <f ca="1">IF(OR(I137="",J137="",CJ137="",CK137=""),"",
IF(AND(J137&gt;=EOMONTH(CK137,-1)+1,I137&lt;=EOMONTH(CK137,0)),
CJ137*
(MAX(0,MIN(J137,EOMONTH(CK137,0)) - MAX(I137,EOMONTH(CK137,-1)+1) + 1)
/
DAY(EOMONTH(CK137,0))
),
0))</f>
        <v>2167.7419354838707</v>
      </c>
    </row>
    <row r="138" spans="1:90" x14ac:dyDescent="0.2">
      <c r="A138" s="58">
        <v>156</v>
      </c>
      <c r="B138" s="58" t="s">
        <v>342</v>
      </c>
      <c r="C138" s="6">
        <v>45217</v>
      </c>
      <c r="D138" s="3">
        <f ca="1">DATEDIF(C138,TODAY(),"Y") + DATEDIF(C138,TODAY(),"YM")/10</f>
        <v>2.7</v>
      </c>
      <c r="E138" s="58" t="s">
        <v>343</v>
      </c>
      <c r="F138" s="3">
        <v>7517223923</v>
      </c>
      <c r="G138" s="7">
        <v>46135</v>
      </c>
      <c r="H138" s="7" t="str">
        <f ca="1">DATEDIF(G138,TODAY(),"M") &amp; " Months"</f>
        <v>1 Months</v>
      </c>
      <c r="I138" s="4">
        <v>46135</v>
      </c>
      <c r="J138" s="4">
        <f>EDATE(I138,1)</f>
        <v>46165</v>
      </c>
      <c r="K138" s="8">
        <v>12</v>
      </c>
      <c r="L138" s="8">
        <v>36</v>
      </c>
      <c r="M138" s="3">
        <f>I138+L138</f>
        <v>46171</v>
      </c>
      <c r="N138" s="9">
        <f ca="1">L138-(TODAY()-I138)</f>
        <v>-2</v>
      </c>
      <c r="O138" s="8" t="str">
        <f ca="1">IF(J138="","",
IF(TODAY()&lt;=J138,"Active",
IF(N138&gt;0,"Grace",
IF(N138&gt;-30,"Inactive","Freeze"))))</f>
        <v>Inactive</v>
      </c>
      <c r="P138" s="10">
        <v>3200</v>
      </c>
      <c r="Q138" s="11">
        <f>COUNTA(T138:CA138)</f>
        <v>12</v>
      </c>
      <c r="R138" s="3">
        <f>K138-Q138</f>
        <v>0</v>
      </c>
      <c r="S138" s="8" t="str">
        <f>IF(Q138&gt;=K138,"Complete","Incomplete")</f>
        <v>Complete</v>
      </c>
      <c r="T138" s="14">
        <v>46135</v>
      </c>
      <c r="U138" s="14">
        <v>46136</v>
      </c>
      <c r="V138" s="14">
        <v>46139</v>
      </c>
      <c r="W138" s="14">
        <v>46141</v>
      </c>
      <c r="X138" s="14">
        <v>46143</v>
      </c>
      <c r="Y138" s="14">
        <v>46146</v>
      </c>
      <c r="Z138" s="14">
        <v>46148</v>
      </c>
      <c r="AA138" s="14">
        <v>46154</v>
      </c>
      <c r="AB138" s="14">
        <v>46156</v>
      </c>
      <c r="AC138" s="14">
        <v>46161</v>
      </c>
      <c r="AD138" s="14">
        <v>46163</v>
      </c>
      <c r="AE138" s="14">
        <v>46168</v>
      </c>
      <c r="CI138" s="4" t="str">
        <f t="shared" si="4"/>
        <v>1</v>
      </c>
      <c r="CJ138" s="13">
        <f>IF(OR(P138="",CI138=""),"",P138/CI138)</f>
        <v>3200</v>
      </c>
      <c r="CK138" s="5">
        <f t="shared" ca="1" si="5"/>
        <v>46173</v>
      </c>
      <c r="CL138" s="13">
        <f ca="1">IF(OR(I138="",J138="",CJ138="",CK138=""),"",
IF(AND(J138&gt;=EOMONTH(CK138,-1)+1,I138&lt;=EOMONTH(CK138,0)),
CJ138*
(MAX(0,MIN(J138,EOMONTH(CK138,0)) - MAX(I138,EOMONTH(CK138,-1)+1) + 1)
/
DAY(EOMONTH(CK138,0))
),
0))</f>
        <v>2374.1935483870966</v>
      </c>
    </row>
    <row r="139" spans="1:90" x14ac:dyDescent="0.2">
      <c r="A139" s="58">
        <v>157</v>
      </c>
      <c r="B139" s="58" t="s">
        <v>344</v>
      </c>
      <c r="C139" s="6">
        <v>44288</v>
      </c>
      <c r="D139" s="3">
        <f ca="1">DATEDIF(C139,TODAY(),"Y") + DATEDIF(C139,TODAY(),"YM")/10</f>
        <v>5.0999999999999996</v>
      </c>
      <c r="E139" s="58" t="s">
        <v>345</v>
      </c>
      <c r="F139" s="3">
        <v>9960902607</v>
      </c>
      <c r="G139" s="7">
        <v>46137</v>
      </c>
      <c r="H139" s="7" t="str">
        <f ca="1">DATEDIF(G139,TODAY(),"M") &amp; " Months"</f>
        <v>1 Months</v>
      </c>
      <c r="I139" s="4">
        <v>46137</v>
      </c>
      <c r="J139" s="4">
        <f>EDATE(I139,1)</f>
        <v>46167</v>
      </c>
      <c r="K139" s="8">
        <v>12</v>
      </c>
      <c r="L139" s="8">
        <v>36</v>
      </c>
      <c r="M139" s="3">
        <f>I139+L139</f>
        <v>46173</v>
      </c>
      <c r="N139" s="9">
        <f ca="1">L139-(TODAY()-I139)</f>
        <v>0</v>
      </c>
      <c r="O139" s="8" t="str">
        <f ca="1">IF(J139="","",
IF(TODAY()&lt;=J139,"Active",
IF(N139&gt;0,"Grace",
IF(N139&gt;-30,"Inactive","Freeze"))))</f>
        <v>Inactive</v>
      </c>
      <c r="P139" s="10">
        <v>3200</v>
      </c>
      <c r="Q139" s="11">
        <f>COUNTA(T139:CA139)</f>
        <v>9</v>
      </c>
      <c r="R139" s="3">
        <f>K139-Q139</f>
        <v>3</v>
      </c>
      <c r="S139" s="8" t="str">
        <f>IF(Q139&gt;=K139,"Complete","Incomplete")</f>
        <v>Incomplete</v>
      </c>
      <c r="T139" s="14">
        <v>46137</v>
      </c>
      <c r="U139" s="14">
        <v>46139</v>
      </c>
      <c r="V139" s="14">
        <v>46141</v>
      </c>
      <c r="W139" s="14">
        <v>46144</v>
      </c>
      <c r="X139" s="14">
        <v>46147</v>
      </c>
      <c r="Y139" s="14">
        <v>46149</v>
      </c>
      <c r="Z139" s="14">
        <v>46156</v>
      </c>
      <c r="AA139" s="14">
        <v>46160</v>
      </c>
      <c r="AB139" s="14">
        <v>46171</v>
      </c>
      <c r="CI139" s="4" t="str">
        <f t="shared" si="4"/>
        <v>1</v>
      </c>
      <c r="CJ139" s="13">
        <f>IF(OR(P139="",CI139=""),"",P139/CI139)</f>
        <v>3200</v>
      </c>
      <c r="CK139" s="5">
        <f t="shared" ca="1" si="5"/>
        <v>46173</v>
      </c>
      <c r="CL139" s="13">
        <f ca="1">IF(OR(I139="",J139="",CJ139="",CK139=""),"",
IF(AND(J139&gt;=EOMONTH(CK139,-1)+1,I139&lt;=EOMONTH(CK139,0)),
CJ139*
(MAX(0,MIN(J139,EOMONTH(CK139,0)) - MAX(I139,EOMONTH(CK139,-1)+1) + 1)
/
DAY(EOMONTH(CK139,0))
),
0))</f>
        <v>2580.6451612903224</v>
      </c>
    </row>
    <row r="140" spans="1:90" x14ac:dyDescent="0.2">
      <c r="A140" s="58">
        <v>158</v>
      </c>
      <c r="B140" s="58" t="s">
        <v>346</v>
      </c>
      <c r="C140" s="6">
        <v>44648</v>
      </c>
      <c r="D140" s="3">
        <f ca="1">DATEDIF(C140,TODAY(),"Y") + DATEDIF(C140,TODAY(),"YM")/10</f>
        <v>4.2</v>
      </c>
      <c r="E140" s="58" t="s">
        <v>347</v>
      </c>
      <c r="F140" s="3">
        <v>9902744220</v>
      </c>
      <c r="G140" s="7">
        <v>46139</v>
      </c>
      <c r="H140" s="7" t="str">
        <f ca="1">DATEDIF(G140,TODAY(),"M") &amp; " Months"</f>
        <v>1 Months</v>
      </c>
      <c r="I140" s="4">
        <v>46139</v>
      </c>
      <c r="J140" s="4">
        <f>EDATE(I140,1)</f>
        <v>46169</v>
      </c>
      <c r="K140" s="8">
        <v>20</v>
      </c>
      <c r="L140" s="8">
        <v>38</v>
      </c>
      <c r="M140" s="3">
        <f>I140+L140</f>
        <v>46177</v>
      </c>
      <c r="N140" s="9">
        <f ca="1">L140-(TODAY()-I140)</f>
        <v>4</v>
      </c>
      <c r="O140" s="8" t="str">
        <f ca="1">IF(J140="","",
IF(TODAY()&lt;=J140,"Active",
IF(N140&gt;0,"Grace",
IF(N140&gt;-30,"Inactive","Freeze"))))</f>
        <v>Grace</v>
      </c>
      <c r="P140" s="10">
        <v>4400</v>
      </c>
      <c r="Q140" s="11">
        <f>COUNTA(T140:CA140)</f>
        <v>17</v>
      </c>
      <c r="R140" s="3">
        <f>K140-Q140</f>
        <v>3</v>
      </c>
      <c r="S140" s="8" t="str">
        <f>IF(Q140&gt;=K140,"Complete","Incomplete")</f>
        <v>Incomplete</v>
      </c>
      <c r="T140" s="14">
        <v>46140</v>
      </c>
      <c r="U140" s="14">
        <v>46141</v>
      </c>
      <c r="V140" s="14">
        <v>46143</v>
      </c>
      <c r="W140" s="14">
        <v>46146</v>
      </c>
      <c r="X140" s="14">
        <v>46147</v>
      </c>
      <c r="Y140" s="14">
        <v>46148</v>
      </c>
      <c r="Z140" s="14">
        <v>46149</v>
      </c>
      <c r="AA140" s="14">
        <v>46150</v>
      </c>
      <c r="AB140" s="14">
        <v>46154</v>
      </c>
      <c r="AC140" s="14">
        <v>46155</v>
      </c>
      <c r="AD140" s="14">
        <v>46156</v>
      </c>
      <c r="AE140" s="14">
        <v>46158</v>
      </c>
      <c r="AF140" s="14">
        <v>46160</v>
      </c>
      <c r="AG140" s="14">
        <v>46161</v>
      </c>
      <c r="AH140" s="14">
        <v>46167</v>
      </c>
      <c r="AI140" s="14">
        <v>46168</v>
      </c>
      <c r="AJ140" s="14">
        <v>46171</v>
      </c>
      <c r="CI140" s="4" t="str">
        <f t="shared" si="4"/>
        <v>1</v>
      </c>
      <c r="CJ140" s="13">
        <f>IF(OR(P140="",CI140=""),"",P140/CI140)</f>
        <v>4400</v>
      </c>
      <c r="CK140" s="5">
        <f t="shared" ca="1" si="5"/>
        <v>46173</v>
      </c>
      <c r="CL140" s="13">
        <f ca="1">IF(OR(I140="",J140="",CJ140="",CK140=""),"",
IF(AND(J140&gt;=EOMONTH(CK140,-1)+1,I140&lt;=EOMONTH(CK140,0)),
CJ140*
(MAX(0,MIN(J140,EOMONTH(CK140,0)) - MAX(I140,EOMONTH(CK140,-1)+1) + 1)
/
DAY(EOMONTH(CK140,0))
),
0))</f>
        <v>3832.2580645161293</v>
      </c>
    </row>
    <row r="141" spans="1:90" x14ac:dyDescent="0.2">
      <c r="A141" s="58">
        <v>159</v>
      </c>
      <c r="B141" s="58" t="s">
        <v>348</v>
      </c>
      <c r="C141" s="6">
        <v>44371</v>
      </c>
      <c r="D141" s="3">
        <f ca="1">DATEDIF(C141,TODAY(),"Y") + DATEDIF(C141,TODAY(),"YM")/10</f>
        <v>5.0999999999999996</v>
      </c>
      <c r="E141" s="58" t="s">
        <v>349</v>
      </c>
      <c r="F141" s="3">
        <v>8484889598</v>
      </c>
      <c r="G141" s="7">
        <v>46139</v>
      </c>
      <c r="H141" s="7" t="str">
        <f ca="1">DATEDIF(G141,TODAY(),"M") &amp; " Months"</f>
        <v>1 Months</v>
      </c>
      <c r="I141" s="4">
        <v>46139</v>
      </c>
      <c r="J141" s="4">
        <f>EDATE(I141,1)</f>
        <v>46169</v>
      </c>
      <c r="K141" s="8">
        <v>12</v>
      </c>
      <c r="L141" s="8">
        <v>36</v>
      </c>
      <c r="M141" s="3">
        <f>I141+L141</f>
        <v>46175</v>
      </c>
      <c r="N141" s="9">
        <f ca="1">L141-(TODAY()-I141)</f>
        <v>2</v>
      </c>
      <c r="O141" s="8" t="str">
        <f ca="1">IF(J141="","",
IF(TODAY()&lt;=J141,"Active",
IF(N141&gt;0,"Grace",
IF(N141&gt;-30,"Inactive","Freeze"))))</f>
        <v>Grace</v>
      </c>
      <c r="P141" s="10">
        <v>3200</v>
      </c>
      <c r="Q141" s="11">
        <f>COUNTA(T141:CA141)</f>
        <v>1</v>
      </c>
      <c r="R141" s="3">
        <f>K141-Q141</f>
        <v>11</v>
      </c>
      <c r="S141" s="8" t="str">
        <f>IF(Q141&gt;=K141,"Complete","Incomplete")</f>
        <v>Incomplete</v>
      </c>
      <c r="T141" s="14">
        <v>46139</v>
      </c>
      <c r="CI141" s="4" t="str">
        <f t="shared" si="4"/>
        <v>1</v>
      </c>
      <c r="CJ141" s="13">
        <f>IF(OR(P141="",CI141=""),"",P141/CI141)</f>
        <v>3200</v>
      </c>
      <c r="CK141" s="5">
        <f t="shared" ca="1" si="5"/>
        <v>46173</v>
      </c>
      <c r="CL141" s="13">
        <f ca="1">IF(OR(I141="",J141="",CJ141="",CK141=""),"",
IF(AND(J141&gt;=EOMONTH(CK141,-1)+1,I141&lt;=EOMONTH(CK141,0)),
CJ141*
(MAX(0,MIN(J141,EOMONTH(CK141,0)) - MAX(I141,EOMONTH(CK141,-1)+1) + 1)
/
DAY(EOMONTH(CK141,0))
),
0))</f>
        <v>2787.0967741935483</v>
      </c>
    </row>
    <row r="142" spans="1:90" x14ac:dyDescent="0.2">
      <c r="A142" s="58">
        <v>160</v>
      </c>
      <c r="B142" s="58" t="s">
        <v>350</v>
      </c>
      <c r="C142" s="6">
        <v>44271</v>
      </c>
      <c r="D142" s="3">
        <f ca="1">DATEDIF(C142,TODAY(),"Y") + DATEDIF(C142,TODAY(),"YM")/10</f>
        <v>5.2</v>
      </c>
      <c r="E142" s="58" t="s">
        <v>351</v>
      </c>
      <c r="F142" s="3">
        <v>7758051289</v>
      </c>
      <c r="G142" s="7">
        <v>46140</v>
      </c>
      <c r="H142" s="7" t="str">
        <f ca="1">DATEDIF(G142,TODAY(),"M") &amp; " Months"</f>
        <v>1 Months</v>
      </c>
      <c r="I142" s="4">
        <v>46140</v>
      </c>
      <c r="J142" s="4">
        <f>EDATE(I142,3)</f>
        <v>46231</v>
      </c>
      <c r="K142" s="8">
        <v>36</v>
      </c>
      <c r="L142" s="8">
        <v>108</v>
      </c>
      <c r="M142" s="3">
        <f>I142+L142</f>
        <v>46248</v>
      </c>
      <c r="N142" s="9">
        <f ca="1">L142-(TODAY()-I142)</f>
        <v>75</v>
      </c>
      <c r="O142" s="8" t="str">
        <f ca="1">IF(J142="","",
IF(TODAY()&lt;=J142,"Active",
IF(N142&gt;0,"Grace",
IF(N142&gt;-30,"Inactive","Freeze"))))</f>
        <v>Active</v>
      </c>
      <c r="P142" s="10">
        <v>7500</v>
      </c>
      <c r="Q142" s="11">
        <f>COUNTA(T142:CA142)</f>
        <v>8</v>
      </c>
      <c r="R142" s="3">
        <f>K142-Q142</f>
        <v>28</v>
      </c>
      <c r="S142" s="8" t="str">
        <f>IF(Q142&gt;=K142,"Complete","Incomplete")</f>
        <v>Incomplete</v>
      </c>
      <c r="T142" s="14">
        <v>46140</v>
      </c>
      <c r="U142" s="14">
        <v>46156</v>
      </c>
      <c r="V142" s="14">
        <v>46157</v>
      </c>
      <c r="W142" s="14">
        <v>46160</v>
      </c>
      <c r="X142" s="14">
        <v>46163</v>
      </c>
      <c r="Y142" s="14">
        <v>46164</v>
      </c>
      <c r="Z142" s="14">
        <v>46168</v>
      </c>
      <c r="AA142" s="14">
        <v>46171</v>
      </c>
      <c r="AB142" s="58"/>
      <c r="AC142" s="14"/>
      <c r="AD142" s="14"/>
      <c r="CI142" s="4" t="str">
        <f t="shared" si="4"/>
        <v>3</v>
      </c>
      <c r="CJ142" s="13">
        <f>IF(OR(P142="",CI142=""),"",P142/CI142)</f>
        <v>2500</v>
      </c>
      <c r="CK142" s="5">
        <f t="shared" ca="1" si="5"/>
        <v>46173</v>
      </c>
      <c r="CL142" s="13">
        <f ca="1">IF(OR(I142="",J142="",CJ142="",CK142=""),"",
IF(AND(J142&gt;=EOMONTH(CK142,-1)+1,I142&lt;=EOMONTH(CK142,0)),
CJ142*
(MAX(0,MIN(J142,EOMONTH(CK142,0)) - MAX(I142,EOMONTH(CK142,-1)+1) + 1)
/
DAY(EOMONTH(CK142,0))
),
0))</f>
        <v>2500</v>
      </c>
    </row>
    <row r="143" spans="1:90" x14ac:dyDescent="0.2">
      <c r="A143" s="58">
        <v>161</v>
      </c>
      <c r="B143" s="58" t="s">
        <v>352</v>
      </c>
      <c r="C143" s="6">
        <v>43275</v>
      </c>
      <c r="D143" s="3">
        <f ca="1">DATEDIF(C143,TODAY(),"Y") + DATEDIF(C143,TODAY(),"YM")/10</f>
        <v>8.1</v>
      </c>
      <c r="E143" s="58" t="s">
        <v>353</v>
      </c>
      <c r="F143" s="3">
        <v>8408977335</v>
      </c>
      <c r="G143" s="7">
        <v>46140</v>
      </c>
      <c r="H143" s="7" t="str">
        <f ca="1">DATEDIF(G143,TODAY(),"M") &amp; " Months"</f>
        <v>1 Months</v>
      </c>
      <c r="I143" s="4">
        <v>46140</v>
      </c>
      <c r="J143" s="4">
        <f>EDATE(I143,3)</f>
        <v>46231</v>
      </c>
      <c r="K143" s="8">
        <v>36</v>
      </c>
      <c r="L143" s="8">
        <v>108</v>
      </c>
      <c r="M143" s="3">
        <f>I143+L143</f>
        <v>46248</v>
      </c>
      <c r="N143" s="9">
        <f ca="1">L143-(TODAY()-I143)</f>
        <v>75</v>
      </c>
      <c r="O143" s="8" t="str">
        <f ca="1">IF(J143="","",
IF(TODAY()&lt;=J143,"Active",
IF(N143&gt;0,"Grace",
IF(N143&gt;-30,"Inactive","Freeze"))))</f>
        <v>Active</v>
      </c>
      <c r="P143" s="10">
        <v>8640</v>
      </c>
      <c r="Q143" s="11">
        <f>COUNTA(T143:CA143)</f>
        <v>11</v>
      </c>
      <c r="R143" s="3">
        <f>K143-Q143</f>
        <v>25</v>
      </c>
      <c r="S143" s="8" t="str">
        <f>IF(Q143&gt;=K143,"Complete","Incomplete")</f>
        <v>Incomplete</v>
      </c>
      <c r="T143" s="14">
        <v>46140</v>
      </c>
      <c r="U143" s="14">
        <v>46144</v>
      </c>
      <c r="V143" s="14">
        <v>46147</v>
      </c>
      <c r="W143" s="14">
        <v>46149</v>
      </c>
      <c r="X143" s="14">
        <v>46151</v>
      </c>
      <c r="Y143" s="14">
        <v>46154</v>
      </c>
      <c r="Z143" s="14">
        <v>46156</v>
      </c>
      <c r="AA143" s="14">
        <v>46158</v>
      </c>
      <c r="AB143" s="14">
        <v>46161</v>
      </c>
      <c r="AC143" s="14">
        <v>46163</v>
      </c>
      <c r="AD143" s="14">
        <v>46168</v>
      </c>
      <c r="CI143" s="4" t="str">
        <f t="shared" si="4"/>
        <v>3</v>
      </c>
      <c r="CJ143" s="13">
        <f>IF(OR(P143="",CI143=""),"",P143/CI143)</f>
        <v>2880</v>
      </c>
      <c r="CK143" s="5">
        <f t="shared" ca="1" si="5"/>
        <v>46173</v>
      </c>
      <c r="CL143" s="13">
        <f ca="1">IF(OR(I143="",J143="",CJ143="",CK143=""),"",
IF(AND(J143&gt;=EOMONTH(CK143,-1)+1,I143&lt;=EOMONTH(CK143,0)),
CJ143*
(MAX(0,MIN(J143,EOMONTH(CK143,0)) - MAX(I143,EOMONTH(CK143,-1)+1) + 1)
/
DAY(EOMONTH(CK143,0))
),
0))</f>
        <v>2880</v>
      </c>
    </row>
    <row r="144" spans="1:90" x14ac:dyDescent="0.2">
      <c r="A144" s="58">
        <v>162</v>
      </c>
      <c r="B144" s="58" t="s">
        <v>354</v>
      </c>
      <c r="C144" s="6">
        <v>43514</v>
      </c>
      <c r="D144" s="3">
        <f ca="1">DATEDIF(C144,TODAY(),"Y") + DATEDIF(C144,TODAY(),"YM")/10</f>
        <v>7.3</v>
      </c>
      <c r="E144" s="58" t="s">
        <v>355</v>
      </c>
      <c r="F144" s="3">
        <v>9172999179</v>
      </c>
      <c r="G144" s="7">
        <v>46143</v>
      </c>
      <c r="H144" s="7" t="str">
        <f ca="1">DATEDIF(G144,TODAY(),"M") &amp; " Months"</f>
        <v>0 Months</v>
      </c>
      <c r="I144" s="4">
        <v>46143</v>
      </c>
      <c r="J144" s="4">
        <f>EDATE(I144,3)</f>
        <v>46235</v>
      </c>
      <c r="K144" s="8">
        <v>36</v>
      </c>
      <c r="L144" s="8">
        <v>108</v>
      </c>
      <c r="M144" s="3">
        <f>I144+L144</f>
        <v>46251</v>
      </c>
      <c r="N144" s="9">
        <f ca="1">L144-(TODAY()-I144)</f>
        <v>78</v>
      </c>
      <c r="O144" s="8" t="str">
        <f ca="1">IF(J144="","",
IF(TODAY()&lt;=J144,"Active",
IF(N144&gt;0,"Grace",
IF(N144&gt;-30,"Inactive","Freeze"))))</f>
        <v>Active</v>
      </c>
      <c r="P144" s="10">
        <v>8640</v>
      </c>
      <c r="Q144" s="11">
        <f>COUNTA(T144:CA144)</f>
        <v>12</v>
      </c>
      <c r="R144" s="3">
        <f>K144-Q144</f>
        <v>24</v>
      </c>
      <c r="S144" s="8" t="str">
        <f>IF(Q144&gt;=K144,"Complete","Incomplete")</f>
        <v>Incomplete</v>
      </c>
      <c r="T144" s="14">
        <v>46144</v>
      </c>
      <c r="U144" s="14">
        <v>46147</v>
      </c>
      <c r="V144" s="14">
        <v>46150</v>
      </c>
      <c r="W144" s="14">
        <v>46151</v>
      </c>
      <c r="X144" s="14">
        <v>46155</v>
      </c>
      <c r="Y144" s="14">
        <v>46156</v>
      </c>
      <c r="Z144" s="14">
        <v>46158</v>
      </c>
      <c r="AA144" s="14">
        <v>46163</v>
      </c>
      <c r="AB144" s="14">
        <v>46164</v>
      </c>
      <c r="AC144" s="14">
        <v>46167</v>
      </c>
      <c r="AD144" s="14">
        <v>46168</v>
      </c>
      <c r="AE144" s="14">
        <v>46171</v>
      </c>
      <c r="CI144" s="4" t="str">
        <f t="shared" si="4"/>
        <v>3</v>
      </c>
      <c r="CJ144" s="13">
        <f>IF(OR(P144="",CI144=""),"",P144/CI144)</f>
        <v>2880</v>
      </c>
      <c r="CK144" s="5">
        <f t="shared" ca="1" si="5"/>
        <v>46173</v>
      </c>
      <c r="CL144" s="13">
        <f ca="1">IF(OR(I144="",J144="",CJ144="",CK144=""),"",
IF(AND(J144&gt;=EOMONTH(CK144,-1)+1,I144&lt;=EOMONTH(CK144,0)),
CJ144*
(MAX(0,MIN(J144,EOMONTH(CK144,0)) - MAX(I144,EOMONTH(CK144,-1)+1) + 1)
/
DAY(EOMONTH(CK144,0))
),
0))</f>
        <v>2880</v>
      </c>
    </row>
    <row r="145" spans="1:90" x14ac:dyDescent="0.2">
      <c r="A145" s="58">
        <v>163</v>
      </c>
      <c r="B145" s="58" t="s">
        <v>356</v>
      </c>
      <c r="C145" s="6">
        <v>44414</v>
      </c>
      <c r="D145" s="3">
        <f ca="1">DATEDIF(C145,TODAY(),"Y") + DATEDIF(C145,TODAY(),"YM")/10</f>
        <v>4.9000000000000004</v>
      </c>
      <c r="E145" s="58" t="s">
        <v>355</v>
      </c>
      <c r="F145" s="3">
        <v>9172999179</v>
      </c>
      <c r="G145" s="7">
        <v>46143</v>
      </c>
      <c r="H145" s="7" t="str">
        <f ca="1">DATEDIF(G145,TODAY(),"M") &amp; " Months"</f>
        <v>0 Months</v>
      </c>
      <c r="I145" s="4">
        <v>46143</v>
      </c>
      <c r="J145" s="4">
        <f>EDATE(I145,3)</f>
        <v>46235</v>
      </c>
      <c r="K145" s="8">
        <v>36</v>
      </c>
      <c r="L145" s="8">
        <v>108</v>
      </c>
      <c r="M145" s="3">
        <f>I145+L145</f>
        <v>46251</v>
      </c>
      <c r="N145" s="9">
        <f ca="1">L145-(TODAY()-I145)</f>
        <v>78</v>
      </c>
      <c r="O145" s="8" t="str">
        <f ca="1">IF(J145="","",
IF(TODAY()&lt;=J145,"Active",
IF(N145&gt;0,"Grace",
IF(N145&gt;-30,"Inactive","Freeze"))))</f>
        <v>Active</v>
      </c>
      <c r="P145" s="10">
        <v>8640</v>
      </c>
      <c r="Q145" s="11">
        <f>COUNTA(T145:CA145)</f>
        <v>12</v>
      </c>
      <c r="R145" s="3">
        <f>K145-Q145</f>
        <v>24</v>
      </c>
      <c r="S145" s="8" t="str">
        <f>IF(Q145&gt;=K145,"Complete","Incomplete")</f>
        <v>Incomplete</v>
      </c>
      <c r="T145" s="14">
        <v>46144</v>
      </c>
      <c r="U145" s="14">
        <v>46147</v>
      </c>
      <c r="V145" s="14">
        <v>46150</v>
      </c>
      <c r="W145" s="14">
        <v>46151</v>
      </c>
      <c r="X145" s="14">
        <v>46155</v>
      </c>
      <c r="Y145" s="14">
        <v>46156</v>
      </c>
      <c r="Z145" s="14">
        <v>46158</v>
      </c>
      <c r="AA145" s="14">
        <v>46163</v>
      </c>
      <c r="AB145" s="14">
        <v>46164</v>
      </c>
      <c r="AC145" s="14">
        <v>46167</v>
      </c>
      <c r="AD145" s="14">
        <v>46168</v>
      </c>
      <c r="AE145" s="14">
        <v>46171</v>
      </c>
      <c r="CI145" s="4" t="str">
        <f t="shared" si="4"/>
        <v>3</v>
      </c>
      <c r="CJ145" s="13">
        <f>IF(OR(P145="",CI145=""),"",P145/CI145)</f>
        <v>2880</v>
      </c>
      <c r="CK145" s="5">
        <f t="shared" ca="1" si="5"/>
        <v>46173</v>
      </c>
      <c r="CL145" s="13">
        <f ca="1">IF(OR(I145="",J145="",CJ145="",CK145=""),"",
IF(AND(J145&gt;=EOMONTH(CK145,-1)+1,I145&lt;=EOMONTH(CK145,0)),
CJ145*
(MAX(0,MIN(J145,EOMONTH(CK145,0)) - MAX(I145,EOMONTH(CK145,-1)+1) + 1)
/
DAY(EOMONTH(CK145,0))
),
0))</f>
        <v>2880</v>
      </c>
    </row>
    <row r="146" spans="1:90" x14ac:dyDescent="0.2">
      <c r="A146" s="58">
        <v>164</v>
      </c>
      <c r="B146" s="58" t="s">
        <v>357</v>
      </c>
      <c r="C146" s="6">
        <v>44979</v>
      </c>
      <c r="D146" s="3">
        <f ca="1">DATEDIF(C146,TODAY(),"Y") + DATEDIF(C146,TODAY(),"YM")/10</f>
        <v>3.3</v>
      </c>
      <c r="E146" s="58" t="s">
        <v>355</v>
      </c>
      <c r="F146" s="3">
        <v>9172999179</v>
      </c>
      <c r="G146" s="7">
        <v>46143</v>
      </c>
      <c r="H146" s="7" t="str">
        <f ca="1">DATEDIF(G146,TODAY(),"M") &amp; " Months"</f>
        <v>0 Months</v>
      </c>
      <c r="I146" s="4">
        <v>46143</v>
      </c>
      <c r="J146" s="4">
        <f>EDATE(I146,3)</f>
        <v>46235</v>
      </c>
      <c r="K146" s="8">
        <v>36</v>
      </c>
      <c r="L146" s="8">
        <v>108</v>
      </c>
      <c r="M146" s="3">
        <f>I146+L146</f>
        <v>46251</v>
      </c>
      <c r="N146" s="9">
        <f ca="1">L146-(TODAY()-I146)</f>
        <v>78</v>
      </c>
      <c r="O146" s="8" t="str">
        <f ca="1">IF(J146="","",
IF(TODAY()&lt;=J146,"Active",
IF(N146&gt;0,"Grace",
IF(N146&gt;-30,"Inactive","Freeze"))))</f>
        <v>Active</v>
      </c>
      <c r="P146" s="10">
        <v>8640</v>
      </c>
      <c r="Q146" s="11">
        <f>COUNTA(T146:CA146)</f>
        <v>12</v>
      </c>
      <c r="R146" s="3">
        <f>K146-Q146</f>
        <v>24</v>
      </c>
      <c r="S146" s="8" t="str">
        <f>IF(Q146&gt;=K146,"Complete","Incomplete")</f>
        <v>Incomplete</v>
      </c>
      <c r="T146" s="14">
        <v>46144</v>
      </c>
      <c r="U146" s="14">
        <v>46147</v>
      </c>
      <c r="V146" s="14">
        <v>46150</v>
      </c>
      <c r="W146" s="14">
        <v>46151</v>
      </c>
      <c r="X146" s="14">
        <v>46155</v>
      </c>
      <c r="Y146" s="14">
        <v>46156</v>
      </c>
      <c r="Z146" s="14">
        <v>46158</v>
      </c>
      <c r="AA146" s="14">
        <v>46163</v>
      </c>
      <c r="AB146" s="14">
        <v>46164</v>
      </c>
      <c r="AC146" s="14">
        <v>46167</v>
      </c>
      <c r="AD146" s="14">
        <v>46168</v>
      </c>
      <c r="AE146" s="14">
        <v>46171</v>
      </c>
      <c r="CI146" s="4" t="str">
        <f t="shared" si="4"/>
        <v>3</v>
      </c>
      <c r="CJ146" s="13">
        <f>IF(OR(P146="",CI146=""),"",P146/CI146)</f>
        <v>2880</v>
      </c>
      <c r="CK146" s="5">
        <f t="shared" ca="1" si="5"/>
        <v>46173</v>
      </c>
      <c r="CL146" s="13">
        <f ca="1">IF(OR(I146="",J146="",CJ146="",CK146=""),"",
IF(AND(J146&gt;=EOMONTH(CK146,-1)+1,I146&lt;=EOMONTH(CK146,0)),
CJ146*
(MAX(0,MIN(J146,EOMONTH(CK146,0)) - MAX(I146,EOMONTH(CK146,-1)+1) + 1)
/
DAY(EOMONTH(CK146,0))
),
0))</f>
        <v>2880</v>
      </c>
    </row>
    <row r="147" spans="1:90" x14ac:dyDescent="0.2">
      <c r="A147" s="58">
        <v>165</v>
      </c>
      <c r="B147" s="58" t="s">
        <v>358</v>
      </c>
      <c r="C147" s="6">
        <v>45266</v>
      </c>
      <c r="D147" s="3">
        <f ca="1">DATEDIF(C147,TODAY(),"Y") + DATEDIF(C147,TODAY(),"YM")/10</f>
        <v>2.5</v>
      </c>
      <c r="E147" s="58" t="s">
        <v>359</v>
      </c>
      <c r="F147" s="3">
        <v>8500064777</v>
      </c>
      <c r="G147" s="7">
        <v>46145</v>
      </c>
      <c r="H147" s="7" t="str">
        <f ca="1">DATEDIF(G147,TODAY(),"M") &amp; " Months"</f>
        <v>0 Months</v>
      </c>
      <c r="I147" s="4">
        <v>46145</v>
      </c>
      <c r="J147" s="4">
        <f>EDATE(I147,1)</f>
        <v>46176</v>
      </c>
      <c r="K147" s="8">
        <v>20</v>
      </c>
      <c r="L147" s="8">
        <v>38</v>
      </c>
      <c r="M147" s="3">
        <f>I147+L147</f>
        <v>46183</v>
      </c>
      <c r="N147" s="9">
        <f ca="1">L147-(TODAY()-I147)</f>
        <v>10</v>
      </c>
      <c r="O147" s="8" t="str">
        <f ca="1">IF(J147="","",
IF(TODAY()&lt;=J147,"Active",
IF(N147&gt;0,"Grace",
IF(N147&gt;-30,"Inactive","Freeze"))))</f>
        <v>Active</v>
      </c>
      <c r="P147" s="10">
        <v>4400</v>
      </c>
      <c r="Q147" s="11">
        <f>COUNTA(T147:CA147)</f>
        <v>15</v>
      </c>
      <c r="R147" s="3">
        <f>K147-Q147</f>
        <v>5</v>
      </c>
      <c r="S147" s="8" t="str">
        <f>IF(Q147&gt;=K147,"Complete","Incomplete")</f>
        <v>Incomplete</v>
      </c>
      <c r="T147" s="14">
        <v>46146</v>
      </c>
      <c r="U147" s="14">
        <v>46147</v>
      </c>
      <c r="V147" s="14">
        <v>46148</v>
      </c>
      <c r="W147" s="14">
        <v>46149</v>
      </c>
      <c r="X147" s="14">
        <v>46150</v>
      </c>
      <c r="Y147" s="14">
        <v>46152</v>
      </c>
      <c r="Z147" s="14">
        <v>46155</v>
      </c>
      <c r="AA147" s="14">
        <v>46156</v>
      </c>
      <c r="AB147" s="14">
        <v>46157</v>
      </c>
      <c r="AC147" s="14">
        <v>46160</v>
      </c>
      <c r="AD147" s="14">
        <v>46161</v>
      </c>
      <c r="AE147" s="14">
        <v>46163</v>
      </c>
      <c r="AF147" s="14">
        <v>46167</v>
      </c>
      <c r="AG147" s="14">
        <v>46168</v>
      </c>
      <c r="AH147" s="14">
        <v>46169</v>
      </c>
      <c r="CI147" s="4" t="str">
        <f t="shared" si="4"/>
        <v>1</v>
      </c>
      <c r="CJ147" s="13">
        <f>IF(OR(P147="",CI147=""),"",P147/CI147)</f>
        <v>4400</v>
      </c>
      <c r="CK147" s="5">
        <f t="shared" ca="1" si="5"/>
        <v>46173</v>
      </c>
      <c r="CL147" s="13">
        <f ca="1">IF(OR(I147="",J147="",CJ147="",CK147=""),"",
IF(AND(J147&gt;=EOMONTH(CK147,-1)+1,I147&lt;=EOMONTH(CK147,0)),
CJ147*
(MAX(0,MIN(J147,EOMONTH(CK147,0)) - MAX(I147,EOMONTH(CK147,-1)+1) + 1)
/
DAY(EOMONTH(CK147,0))
),
0))</f>
        <v>4116.1290322580644</v>
      </c>
    </row>
    <row r="148" spans="1:90" x14ac:dyDescent="0.2">
      <c r="A148" s="58">
        <v>166</v>
      </c>
      <c r="B148" s="58" t="s">
        <v>360</v>
      </c>
      <c r="C148" s="6">
        <v>43560</v>
      </c>
      <c r="D148" s="3">
        <f ca="1">DATEDIF(C148,TODAY(),"Y") + DATEDIF(C148,TODAY(),"YM")/10</f>
        <v>7.1</v>
      </c>
      <c r="E148" s="58" t="s">
        <v>361</v>
      </c>
      <c r="F148" s="3">
        <v>9545056538</v>
      </c>
      <c r="G148" s="7">
        <v>46145</v>
      </c>
      <c r="H148" s="7" t="str">
        <f ca="1">DATEDIF(G148,TODAY(),"M") &amp; " Months"</f>
        <v>0 Months</v>
      </c>
      <c r="I148" s="4">
        <v>46145</v>
      </c>
      <c r="J148" s="4">
        <f>EDATE(I148,1)</f>
        <v>46176</v>
      </c>
      <c r="K148" s="8">
        <v>12</v>
      </c>
      <c r="L148" s="8">
        <v>36</v>
      </c>
      <c r="M148" s="3">
        <f>I148+L148</f>
        <v>46181</v>
      </c>
      <c r="N148" s="9">
        <f ca="1">L148-(TODAY()-I148)</f>
        <v>8</v>
      </c>
      <c r="O148" s="8" t="str">
        <f ca="1">IF(J148="","",
IF(TODAY()&lt;=J148,"Active",
IF(N148&gt;0,"Grace",
IF(N148&gt;-30,"Inactive","Freeze"))))</f>
        <v>Active</v>
      </c>
      <c r="P148" s="10">
        <v>3200</v>
      </c>
      <c r="Q148" s="11">
        <f>COUNTA(T148:CA148)</f>
        <v>8</v>
      </c>
      <c r="R148" s="3">
        <f>K148-Q148</f>
        <v>4</v>
      </c>
      <c r="S148" s="8" t="str">
        <f>IF(Q148&gt;=K148,"Complete","Incomplete")</f>
        <v>Incomplete</v>
      </c>
      <c r="T148" s="14">
        <v>46145</v>
      </c>
      <c r="U148" s="14">
        <v>46151</v>
      </c>
      <c r="V148" s="14">
        <v>46152</v>
      </c>
      <c r="W148" s="14">
        <v>46153</v>
      </c>
      <c r="X148" s="14">
        <v>46154</v>
      </c>
      <c r="Y148" s="14">
        <v>46157</v>
      </c>
      <c r="Z148" s="14">
        <v>46158</v>
      </c>
      <c r="AA148" s="14">
        <v>46165</v>
      </c>
      <c r="CI148" s="4" t="str">
        <f t="shared" si="4"/>
        <v>1</v>
      </c>
      <c r="CJ148" s="13">
        <f>IF(OR(P148="",CI148=""),"",P148/CI148)</f>
        <v>3200</v>
      </c>
      <c r="CK148" s="5">
        <f t="shared" ca="1" si="5"/>
        <v>46173</v>
      </c>
      <c r="CL148" s="13">
        <f ca="1">IF(OR(I148="",J148="",CJ148="",CK148=""),"",
IF(AND(J148&gt;=EOMONTH(CK148,-1)+1,I148&lt;=EOMONTH(CK148,0)),
CJ148*
(MAX(0,MIN(J148,EOMONTH(CK148,0)) - MAX(I148,EOMONTH(CK148,-1)+1) + 1)
/
DAY(EOMONTH(CK148,0))
),
0))</f>
        <v>2993.5483870967741</v>
      </c>
    </row>
    <row r="149" spans="1:90" x14ac:dyDescent="0.2">
      <c r="A149" s="58">
        <v>167</v>
      </c>
      <c r="B149" s="58" t="s">
        <v>362</v>
      </c>
      <c r="C149" s="6">
        <v>45003</v>
      </c>
      <c r="D149" s="3">
        <f ca="1">DATEDIF(C149,TODAY(),"Y") + DATEDIF(C149,TODAY(),"YM")/10</f>
        <v>3.2</v>
      </c>
      <c r="E149" s="58" t="s">
        <v>363</v>
      </c>
      <c r="F149" s="3">
        <v>7758839869</v>
      </c>
      <c r="G149" s="7">
        <v>46146</v>
      </c>
      <c r="H149" s="7" t="str">
        <f ca="1">DATEDIF(G149,TODAY(),"M") &amp; " Months"</f>
        <v>0 Months</v>
      </c>
      <c r="I149" s="4">
        <v>46146</v>
      </c>
      <c r="J149" s="4">
        <f>EDATE(I149,1)</f>
        <v>46177</v>
      </c>
      <c r="K149" s="8">
        <v>24</v>
      </c>
      <c r="L149" s="8">
        <v>38</v>
      </c>
      <c r="M149" s="3">
        <f>I149+L149</f>
        <v>46184</v>
      </c>
      <c r="N149" s="9">
        <f ca="1">L149-(TODAY()-I149)</f>
        <v>11</v>
      </c>
      <c r="O149" s="8" t="str">
        <f ca="1">IF(J149="","",
IF(TODAY()&lt;=J149,"Active",
IF(N149&gt;0,"Grace",
IF(N149&gt;-30,"Inactive","Freeze"))))</f>
        <v>Active</v>
      </c>
      <c r="P149" s="10">
        <v>4400</v>
      </c>
      <c r="Q149" s="11">
        <f>COUNTA(T149:CA149)</f>
        <v>14</v>
      </c>
      <c r="R149" s="3">
        <f>K149-Q149</f>
        <v>10</v>
      </c>
      <c r="S149" s="8" t="str">
        <f>IF(Q149&gt;=K149,"Complete","Incomplete")</f>
        <v>Incomplete</v>
      </c>
      <c r="T149" s="14">
        <v>46146</v>
      </c>
      <c r="U149" s="14">
        <v>46147</v>
      </c>
      <c r="V149" s="14">
        <v>46148</v>
      </c>
      <c r="W149" s="14">
        <v>46149</v>
      </c>
      <c r="X149" s="14">
        <v>46150</v>
      </c>
      <c r="Y149" s="14">
        <v>46151</v>
      </c>
      <c r="Z149" s="14">
        <v>46157</v>
      </c>
      <c r="AA149" s="14">
        <v>46158</v>
      </c>
      <c r="AB149" s="14">
        <v>46160</v>
      </c>
      <c r="AC149" s="14">
        <v>46161</v>
      </c>
      <c r="AD149" s="14">
        <v>46163</v>
      </c>
      <c r="AE149" s="14">
        <v>46167</v>
      </c>
      <c r="AF149" s="14">
        <v>46168</v>
      </c>
      <c r="AG149" s="14">
        <v>46171</v>
      </c>
      <c r="CI149" s="4" t="str">
        <f t="shared" si="4"/>
        <v>1</v>
      </c>
      <c r="CJ149" s="13">
        <f>IF(OR(P149="",CI149=""),"",P149/CI149)</f>
        <v>4400</v>
      </c>
      <c r="CK149" s="5">
        <f t="shared" ca="1" si="5"/>
        <v>46173</v>
      </c>
      <c r="CL149" s="13">
        <f ca="1">IF(OR(I149="",J149="",CJ149="",CK149=""),"",
IF(AND(J149&gt;=EOMONTH(CK149,-1)+1,I149&lt;=EOMONTH(CK149,0)),
CJ149*
(MAX(0,MIN(J149,EOMONTH(CK149,0)) - MAX(I149,EOMONTH(CK149,-1)+1) + 1)
/
DAY(EOMONTH(CK149,0))
),
0))</f>
        <v>3974.1935483870966</v>
      </c>
    </row>
    <row r="150" spans="1:90" x14ac:dyDescent="0.2">
      <c r="A150" s="58">
        <v>168</v>
      </c>
      <c r="E150" s="58"/>
      <c r="G150" s="7"/>
      <c r="H150" s="7"/>
      <c r="I150" s="4"/>
      <c r="J150" s="4">
        <f>EDATE(I150,1)</f>
        <v>31</v>
      </c>
      <c r="K150" s="8">
        <v>12</v>
      </c>
      <c r="L150" s="8">
        <v>36</v>
      </c>
      <c r="M150" s="3">
        <f>I150+L150</f>
        <v>36</v>
      </c>
      <c r="N150" s="9">
        <f ca="1">L150-(TODAY()-I150)</f>
        <v>-46137</v>
      </c>
      <c r="O150" s="8" t="str">
        <f ca="1">IF(J150="","",
IF(TODAY()&lt;=J150,"Active",
IF(N150&gt;0,"Grace",
IF(N150&gt;-30,"Inactive","Freeze"))))</f>
        <v>Freeze</v>
      </c>
      <c r="P150" s="10">
        <v>3200</v>
      </c>
      <c r="Q150" s="11">
        <f>COUNTA(T150:CA150)</f>
        <v>0</v>
      </c>
      <c r="R150" s="3">
        <f>K150-Q150</f>
        <v>12</v>
      </c>
      <c r="S150" s="8" t="str">
        <f>IF(Q150&gt;=K150,"Complete","Incomplete")</f>
        <v>Incomplete</v>
      </c>
      <c r="CI150" s="4" t="str">
        <f t="shared" si="4"/>
        <v/>
      </c>
      <c r="CJ150" s="13" t="str">
        <f>IF(OR(P150="",CI150=""),"",P150/CI150)</f>
        <v/>
      </c>
      <c r="CK150" s="5">
        <f t="shared" ca="1" si="5"/>
        <v>46173</v>
      </c>
      <c r="CL150" s="13" t="str">
        <f ca="1">IF(OR(I150="",J150="",CJ150="",CK150=""),"",
IF(AND(J150&gt;=EOMONTH(CK150,-1)+1,I150&lt;=EOMONTH(CK150,0)),
CJ150*
(MAX(0,MIN(J150,EOMONTH(CK150,0)) - MAX(I150,EOMONTH(CK150,-1)+1) + 1)
/
DAY(EOMONTH(CK150,0))
),
0))</f>
        <v/>
      </c>
    </row>
    <row r="151" spans="1:90" x14ac:dyDescent="0.2">
      <c r="A151" s="58">
        <v>169</v>
      </c>
      <c r="B151" s="3" t="s">
        <v>364</v>
      </c>
      <c r="C151" s="6">
        <v>44966</v>
      </c>
      <c r="D151" s="3">
        <f ca="1">DATEDIF(C151,TODAY(),"Y") + DATEDIF(C151,TODAY(),"YM")/10</f>
        <v>3.3</v>
      </c>
      <c r="E151" s="58" t="s">
        <v>365</v>
      </c>
      <c r="F151" s="3">
        <v>7722080700</v>
      </c>
      <c r="G151" s="7">
        <v>46146</v>
      </c>
      <c r="H151" s="7" t="str">
        <f ca="1">DATEDIF(G151,TODAY(),"M") &amp; " Months"</f>
        <v>0 Months</v>
      </c>
      <c r="I151" s="4">
        <v>46146</v>
      </c>
      <c r="J151" s="4">
        <f>EDATE(I151,1)</f>
        <v>46177</v>
      </c>
      <c r="K151" s="8">
        <v>12</v>
      </c>
      <c r="L151" s="8">
        <v>36</v>
      </c>
      <c r="M151" s="3">
        <f>I151+L151</f>
        <v>46182</v>
      </c>
      <c r="N151" s="9">
        <f ca="1">L151-(TODAY()-I151)</f>
        <v>9</v>
      </c>
      <c r="O151" s="8" t="str">
        <f ca="1">IF(J151="","",
IF(TODAY()&lt;=J151,"Active",
IF(N151&gt;0,"Grace",
IF(N151&gt;-30,"Inactive","Freeze"))))</f>
        <v>Active</v>
      </c>
      <c r="P151" s="10">
        <v>3200</v>
      </c>
      <c r="Q151" s="11">
        <f>COUNTA(T151:CA151)</f>
        <v>11</v>
      </c>
      <c r="R151" s="3">
        <f>K151-Q151</f>
        <v>1</v>
      </c>
      <c r="S151" s="8" t="str">
        <f>IF(Q151&gt;=K151,"Complete","Incomplete")</f>
        <v>Incomplete</v>
      </c>
      <c r="T151" s="14">
        <v>46148</v>
      </c>
      <c r="U151" s="14">
        <v>46149</v>
      </c>
      <c r="V151" s="14">
        <v>46153</v>
      </c>
      <c r="W151" s="14">
        <v>46154</v>
      </c>
      <c r="X151" s="14">
        <v>46156</v>
      </c>
      <c r="Y151" s="14">
        <v>46158</v>
      </c>
      <c r="Z151" s="14">
        <v>46160</v>
      </c>
      <c r="AA151" s="14">
        <v>46161</v>
      </c>
      <c r="AB151" s="14">
        <v>46164</v>
      </c>
      <c r="AC151" s="14">
        <v>46169</v>
      </c>
      <c r="AD151" s="14">
        <v>46171</v>
      </c>
      <c r="CI151" s="4" t="str">
        <f t="shared" si="4"/>
        <v>1</v>
      </c>
      <c r="CJ151" s="13">
        <f>IF(OR(P151="",CI151=""),"",P151/CI151)</f>
        <v>3200</v>
      </c>
      <c r="CK151" s="5">
        <f t="shared" ca="1" si="5"/>
        <v>46173</v>
      </c>
      <c r="CL151" s="13">
        <f ca="1">IF(OR(I151="",J151="",CJ151="",CK151=""),"",
IF(AND(J151&gt;=EOMONTH(CK151,-1)+1,I151&lt;=EOMONTH(CK151,0)),
CJ151*
(MAX(0,MIN(J151,EOMONTH(CK151,0)) - MAX(I151,EOMONTH(CK151,-1)+1) + 1)
/
DAY(EOMONTH(CK151,0))
),
0))</f>
        <v>2890.322580645161</v>
      </c>
    </row>
    <row r="152" spans="1:90" x14ac:dyDescent="0.2">
      <c r="A152" s="58">
        <v>170</v>
      </c>
      <c r="B152" s="3" t="s">
        <v>366</v>
      </c>
      <c r="C152" s="6">
        <v>44487</v>
      </c>
      <c r="D152" s="3">
        <f ca="1">DATEDIF(C152,TODAY(),"Y") + DATEDIF(C152,TODAY(),"YM")/10</f>
        <v>4.7</v>
      </c>
      <c r="E152" s="58" t="s">
        <v>367</v>
      </c>
      <c r="F152" s="3">
        <v>9822423242</v>
      </c>
      <c r="G152" s="7">
        <v>46146</v>
      </c>
      <c r="H152" s="7" t="str">
        <f ca="1">DATEDIF(G152,TODAY(),"M") &amp; " Months"</f>
        <v>0 Months</v>
      </c>
      <c r="I152" s="4">
        <v>46146</v>
      </c>
      <c r="J152" s="4">
        <f>EDATE(I152,1)</f>
        <v>46177</v>
      </c>
      <c r="K152" s="8">
        <v>12</v>
      </c>
      <c r="L152" s="8">
        <v>36</v>
      </c>
      <c r="M152" s="3">
        <f>I152+L152</f>
        <v>46182</v>
      </c>
      <c r="N152" s="9">
        <f ca="1">L152-(TODAY()-I152)</f>
        <v>9</v>
      </c>
      <c r="O152" s="8" t="str">
        <f ca="1">IF(J152="","",
IF(TODAY()&lt;=J152,"Active",
IF(N152&gt;0,"Grace",
IF(N152&gt;-30,"Inactive","Freeze"))))</f>
        <v>Active</v>
      </c>
      <c r="P152" s="10">
        <v>3200</v>
      </c>
      <c r="Q152" s="11">
        <f>COUNTA(T152:CA152)</f>
        <v>9</v>
      </c>
      <c r="R152" s="3">
        <f>K152-Q152</f>
        <v>3</v>
      </c>
      <c r="S152" s="8" t="str">
        <f>IF(Q152&gt;=K152,"Complete","Incomplete")</f>
        <v>Incomplete</v>
      </c>
      <c r="T152" s="14">
        <v>46146</v>
      </c>
      <c r="U152" s="14">
        <v>46147</v>
      </c>
      <c r="V152" s="14">
        <v>46149</v>
      </c>
      <c r="W152" s="14">
        <v>46153</v>
      </c>
      <c r="X152" s="14">
        <v>46154</v>
      </c>
      <c r="Y152" s="14">
        <v>46155</v>
      </c>
      <c r="Z152" s="14">
        <v>46156</v>
      </c>
      <c r="AA152" s="14">
        <v>46169</v>
      </c>
      <c r="AB152" s="14">
        <v>46171</v>
      </c>
      <c r="CI152" s="4" t="str">
        <f t="shared" si="4"/>
        <v>1</v>
      </c>
      <c r="CJ152" s="13">
        <f>IF(OR(P152="",CI152=""),"",P152/CI152)</f>
        <v>3200</v>
      </c>
      <c r="CK152" s="5">
        <f t="shared" ca="1" si="5"/>
        <v>46173</v>
      </c>
      <c r="CL152" s="13">
        <f ca="1">IF(OR(I152="",J152="",CJ152="",CK152=""),"",
IF(AND(J152&gt;=EOMONTH(CK152,-1)+1,I152&lt;=EOMONTH(CK152,0)),
CJ152*
(MAX(0,MIN(J152,EOMONTH(CK152,0)) - MAX(I152,EOMONTH(CK152,-1)+1) + 1)
/
DAY(EOMONTH(CK152,0))
),
0))</f>
        <v>2890.322580645161</v>
      </c>
    </row>
    <row r="153" spans="1:90" x14ac:dyDescent="0.2">
      <c r="A153" s="58">
        <v>171</v>
      </c>
      <c r="B153" s="3" t="s">
        <v>368</v>
      </c>
      <c r="C153" s="6">
        <v>44819</v>
      </c>
      <c r="D153" s="3">
        <f ca="1">DATEDIF(C153,TODAY(),"Y") + DATEDIF(C153,TODAY(),"YM")/10</f>
        <v>3.8</v>
      </c>
      <c r="E153" s="58" t="s">
        <v>369</v>
      </c>
      <c r="F153" s="3">
        <v>9921196450</v>
      </c>
      <c r="G153" s="7">
        <v>46146</v>
      </c>
      <c r="H153" s="7" t="str">
        <f ca="1">DATEDIF(G153,TODAY(),"M") &amp; " Months"</f>
        <v>0 Months</v>
      </c>
      <c r="I153" s="4">
        <v>46146</v>
      </c>
      <c r="J153" s="4">
        <f>EDATE(I153,1)</f>
        <v>46177</v>
      </c>
      <c r="K153" s="8">
        <v>12</v>
      </c>
      <c r="L153" s="8">
        <v>36</v>
      </c>
      <c r="M153" s="3">
        <f>I153+L153</f>
        <v>46182</v>
      </c>
      <c r="N153" s="9">
        <f ca="1">L153-(TODAY()-I153)</f>
        <v>9</v>
      </c>
      <c r="O153" s="8" t="str">
        <f ca="1">IF(J153="","",
IF(TODAY()&lt;=J153,"Active",
IF(N153&gt;0,"Grace",
IF(N153&gt;-30,"Inactive","Freeze"))))</f>
        <v>Active</v>
      </c>
      <c r="P153" s="10">
        <v>3200</v>
      </c>
      <c r="Q153" s="11">
        <f>COUNTA(T153:CA153)</f>
        <v>11</v>
      </c>
      <c r="R153" s="3">
        <f>K153-Q153</f>
        <v>1</v>
      </c>
      <c r="S153" s="8" t="str">
        <f>IF(Q153&gt;=K153,"Complete","Incomplete")</f>
        <v>Incomplete</v>
      </c>
      <c r="T153" s="14">
        <v>46146</v>
      </c>
      <c r="U153" s="14">
        <v>46148</v>
      </c>
      <c r="V153" s="14">
        <v>46150</v>
      </c>
      <c r="W153" s="14">
        <v>46153</v>
      </c>
      <c r="X153" s="14">
        <v>46155</v>
      </c>
      <c r="Y153" s="14">
        <v>46157</v>
      </c>
      <c r="Z153" s="14">
        <v>46160</v>
      </c>
      <c r="AA153" s="14">
        <v>46163</v>
      </c>
      <c r="AB153" s="14">
        <v>46167</v>
      </c>
      <c r="AC153" s="14">
        <v>46169</v>
      </c>
      <c r="AD153" s="14">
        <v>46171</v>
      </c>
      <c r="CI153" s="4" t="str">
        <f t="shared" si="4"/>
        <v>1</v>
      </c>
      <c r="CJ153" s="13">
        <f>IF(OR(P153="",CI153=""),"",P153/CI153)</f>
        <v>3200</v>
      </c>
      <c r="CK153" s="5">
        <f t="shared" ca="1" si="5"/>
        <v>46173</v>
      </c>
      <c r="CL153" s="13">
        <f ca="1">IF(OR(I153="",J153="",CJ153="",CK153=""),"",
IF(AND(J153&gt;=EOMONTH(CK153,-1)+1,I153&lt;=EOMONTH(CK153,0)),
CJ153*
(MAX(0,MIN(J153,EOMONTH(CK153,0)) - MAX(I153,EOMONTH(CK153,-1)+1) + 1)
/
DAY(EOMONTH(CK153,0))
),
0))</f>
        <v>2890.322580645161</v>
      </c>
    </row>
    <row r="154" spans="1:90" x14ac:dyDescent="0.2">
      <c r="A154" s="58">
        <v>172</v>
      </c>
      <c r="B154" s="3" t="s">
        <v>370</v>
      </c>
      <c r="C154" s="6">
        <v>43227</v>
      </c>
      <c r="D154" s="3">
        <f ca="1">DATEDIF(C154,TODAY(),"Y") + DATEDIF(C154,TODAY(),"YM")/10</f>
        <v>8</v>
      </c>
      <c r="E154" s="58" t="s">
        <v>371</v>
      </c>
      <c r="F154" s="3">
        <v>8788740708</v>
      </c>
      <c r="G154" s="7">
        <v>46146</v>
      </c>
      <c r="H154" s="7" t="str">
        <f ca="1">DATEDIF(G154,TODAY(),"M") &amp; " Months"</f>
        <v>0 Months</v>
      </c>
      <c r="I154" s="4">
        <v>46146</v>
      </c>
      <c r="J154" s="4">
        <f>EDATE(I154,1)</f>
        <v>46177</v>
      </c>
      <c r="K154" s="8">
        <v>12</v>
      </c>
      <c r="L154" s="8">
        <v>36</v>
      </c>
      <c r="M154" s="3">
        <f>I154+L154</f>
        <v>46182</v>
      </c>
      <c r="N154" s="9">
        <f ca="1">L154-(TODAY()-I154)</f>
        <v>9</v>
      </c>
      <c r="O154" s="8" t="str">
        <f ca="1">IF(J154="","",
IF(TODAY()&lt;=J154,"Active",
IF(N154&gt;0,"Grace",
IF(N154&gt;-30,"Inactive","Freeze"))))</f>
        <v>Active</v>
      </c>
      <c r="P154" s="10">
        <v>3200</v>
      </c>
      <c r="Q154" s="11">
        <f>COUNTA(T154:CA154)</f>
        <v>9</v>
      </c>
      <c r="R154" s="3">
        <f>K154-Q154</f>
        <v>3</v>
      </c>
      <c r="S154" s="8" t="str">
        <f>IF(Q154&gt;=K154,"Complete","Incomplete")</f>
        <v>Incomplete</v>
      </c>
      <c r="T154" s="14">
        <v>46146</v>
      </c>
      <c r="U154" s="14">
        <v>46147</v>
      </c>
      <c r="V154" s="14">
        <v>46148</v>
      </c>
      <c r="W154" s="14">
        <v>46154</v>
      </c>
      <c r="X154" s="14">
        <v>46155</v>
      </c>
      <c r="Y154" s="14">
        <v>46157</v>
      </c>
      <c r="Z154" s="14">
        <v>46161</v>
      </c>
      <c r="AA154" s="14">
        <v>46163</v>
      </c>
      <c r="AB154" s="14">
        <v>46164</v>
      </c>
      <c r="CI154" s="4" t="str">
        <f t="shared" si="4"/>
        <v>1</v>
      </c>
      <c r="CJ154" s="13">
        <f>IF(OR(P154="",CI154=""),"",P154/CI154)</f>
        <v>3200</v>
      </c>
      <c r="CK154" s="5">
        <f t="shared" ca="1" si="5"/>
        <v>46173</v>
      </c>
      <c r="CL154" s="13">
        <f ca="1">IF(OR(I154="",J154="",CJ154="",CK154=""),"",
IF(AND(J154&gt;=EOMONTH(CK154,-1)+1,I154&lt;=EOMONTH(CK154,0)),
CJ154*
(MAX(0,MIN(J154,EOMONTH(CK154,0)) - MAX(I154,EOMONTH(CK154,-1)+1) + 1)
/
DAY(EOMONTH(CK154,0))
),
0))</f>
        <v>2890.322580645161</v>
      </c>
    </row>
    <row r="155" spans="1:90" x14ac:dyDescent="0.2">
      <c r="A155" s="58">
        <v>173</v>
      </c>
      <c r="B155" s="3" t="s">
        <v>372</v>
      </c>
      <c r="C155" s="6">
        <v>44986</v>
      </c>
      <c r="D155" s="3">
        <f ca="1">DATEDIF(C155,TODAY(),"Y") + DATEDIF(C155,TODAY(),"YM")/10</f>
        <v>3.2</v>
      </c>
      <c r="E155" s="58" t="s">
        <v>373</v>
      </c>
      <c r="F155" s="3">
        <v>9762470074</v>
      </c>
      <c r="G155" s="7">
        <v>46144</v>
      </c>
      <c r="H155" s="7" t="str">
        <f ca="1">DATEDIF(G155,TODAY(),"M") &amp; " Months"</f>
        <v>0 Months</v>
      </c>
      <c r="I155" s="4">
        <v>46144</v>
      </c>
      <c r="J155" s="4">
        <f>EDATE(I155,1)</f>
        <v>46175</v>
      </c>
      <c r="K155" s="8">
        <v>12</v>
      </c>
      <c r="L155" s="8">
        <v>36</v>
      </c>
      <c r="M155" s="3">
        <f>I155+L155</f>
        <v>46180</v>
      </c>
      <c r="N155" s="9">
        <f ca="1">L155-(TODAY()-I155)</f>
        <v>7</v>
      </c>
      <c r="O155" s="8" t="str">
        <f ca="1">IF(J155="","",
IF(TODAY()&lt;=J155,"Active",
IF(N155&gt;0,"Grace",
IF(N155&gt;-30,"Inactive","Freeze"))))</f>
        <v>Active</v>
      </c>
      <c r="P155" s="10">
        <v>3200</v>
      </c>
      <c r="Q155" s="11">
        <f>COUNTA(T155:CA155)</f>
        <v>6</v>
      </c>
      <c r="R155" s="3">
        <f>K155-Q155</f>
        <v>6</v>
      </c>
      <c r="S155" s="8" t="str">
        <f>IF(Q155&gt;=K155,"Complete","Incomplete")</f>
        <v>Incomplete</v>
      </c>
      <c r="T155" s="14">
        <v>46147</v>
      </c>
      <c r="U155" s="14">
        <v>46151</v>
      </c>
      <c r="V155" s="14">
        <v>46161</v>
      </c>
      <c r="W155" s="14">
        <v>46163</v>
      </c>
      <c r="X155" s="14">
        <v>46167</v>
      </c>
      <c r="Y155" s="14">
        <v>46168</v>
      </c>
      <c r="CI155" s="4" t="str">
        <f t="shared" si="4"/>
        <v>1</v>
      </c>
      <c r="CJ155" s="13">
        <f>IF(OR(P155="",CI155=""),"",P155/CI155)</f>
        <v>3200</v>
      </c>
      <c r="CK155" s="5">
        <f t="shared" ca="1" si="5"/>
        <v>46173</v>
      </c>
      <c r="CL155" s="13">
        <f ca="1">IF(OR(I155="",J155="",CJ155="",CK155=""),"",
IF(AND(J155&gt;=EOMONTH(CK155,-1)+1,I155&lt;=EOMONTH(CK155,0)),
CJ155*
(MAX(0,MIN(J155,EOMONTH(CK155,0)) - MAX(I155,EOMONTH(CK155,-1)+1) + 1)
/
DAY(EOMONTH(CK155,0))
),
0))</f>
        <v>3096.7741935483873</v>
      </c>
    </row>
    <row r="156" spans="1:90" x14ac:dyDescent="0.2">
      <c r="A156" s="58">
        <v>174</v>
      </c>
      <c r="B156" s="3" t="s">
        <v>374</v>
      </c>
      <c r="C156" s="6">
        <v>43373</v>
      </c>
      <c r="D156" s="3">
        <f ca="1">DATEDIF(C156,TODAY(),"Y") + DATEDIF(C156,TODAY(),"YM")/10</f>
        <v>7.8</v>
      </c>
      <c r="E156" s="58" t="s">
        <v>258</v>
      </c>
      <c r="F156" s="3">
        <v>7758051289</v>
      </c>
      <c r="G156" s="7">
        <v>46140</v>
      </c>
      <c r="H156" s="7" t="str">
        <f ca="1">DATEDIF(G156,TODAY(),"M") &amp; " Months"</f>
        <v>1 Months</v>
      </c>
      <c r="I156" s="4">
        <v>46140</v>
      </c>
      <c r="J156" s="4">
        <f>EDATE(I156,3)</f>
        <v>46231</v>
      </c>
      <c r="K156" s="8">
        <v>36</v>
      </c>
      <c r="L156" s="8">
        <v>108</v>
      </c>
      <c r="M156" s="3">
        <f>I156+L156</f>
        <v>46248</v>
      </c>
      <c r="N156" s="9">
        <f ca="1">L156-(TODAY()-I156)</f>
        <v>75</v>
      </c>
      <c r="O156" s="8" t="str">
        <f ca="1">IF(J156="","",
IF(TODAY()&lt;=J156,"Active",
IF(N156&gt;0,"Grace",
IF(N156&gt;-30,"Inactive","Freeze"))))</f>
        <v>Active</v>
      </c>
      <c r="P156" s="10">
        <v>7500</v>
      </c>
      <c r="Q156" s="11">
        <f>COUNTA(T156:CA156)</f>
        <v>8</v>
      </c>
      <c r="R156" s="3">
        <f>K156-Q156</f>
        <v>28</v>
      </c>
      <c r="S156" s="8" t="str">
        <f>IF(Q156&gt;=K156,"Complete","Incomplete")</f>
        <v>Incomplete</v>
      </c>
      <c r="T156" s="14">
        <v>46140</v>
      </c>
      <c r="U156" s="14">
        <v>46156</v>
      </c>
      <c r="V156" s="14">
        <v>46157</v>
      </c>
      <c r="W156" s="14">
        <v>46160</v>
      </c>
      <c r="X156" s="14">
        <v>46163</v>
      </c>
      <c r="Y156" s="14">
        <v>46164</v>
      </c>
      <c r="Z156" s="14">
        <v>46168</v>
      </c>
      <c r="AA156" s="14">
        <v>46171</v>
      </c>
      <c r="CI156" s="4" t="str">
        <f t="shared" si="4"/>
        <v>3</v>
      </c>
      <c r="CJ156" s="13">
        <f>IF(OR(P156="",CI156=""),"",P156/CI156)</f>
        <v>2500</v>
      </c>
      <c r="CK156" s="5">
        <f t="shared" ca="1" si="5"/>
        <v>46173</v>
      </c>
      <c r="CL156" s="13">
        <f ca="1">IF(OR(I156="",J156="",CJ156="",CK156=""),"",
IF(AND(J156&gt;=EOMONTH(CK156,-1)+1,I156&lt;=EOMONTH(CK156,0)),
CJ156*
(MAX(0,MIN(J156,EOMONTH(CK156,0)) - MAX(I156,EOMONTH(CK156,-1)+1) + 1)
/
DAY(EOMONTH(CK156,0))
),
0))</f>
        <v>2500</v>
      </c>
    </row>
    <row r="157" spans="1:90" x14ac:dyDescent="0.2">
      <c r="A157" s="58">
        <v>175</v>
      </c>
      <c r="B157" s="3" t="s">
        <v>375</v>
      </c>
      <c r="C157" s="6">
        <v>42092</v>
      </c>
      <c r="D157" s="3">
        <f ca="1">DATEDIF(C157,TODAY(),"Y") + DATEDIF(C157,TODAY(),"YM")/10</f>
        <v>11.2</v>
      </c>
      <c r="E157" s="58" t="s">
        <v>376</v>
      </c>
      <c r="F157" s="3">
        <v>7975489028</v>
      </c>
      <c r="G157" s="7">
        <v>46147</v>
      </c>
      <c r="H157" s="7" t="str">
        <f ca="1">DATEDIF(G157,TODAY(),"M") &amp; " Months"</f>
        <v>0 Months</v>
      </c>
      <c r="I157" s="4">
        <v>46147</v>
      </c>
      <c r="J157" s="4">
        <f>EDATE(I157,1)</f>
        <v>46178</v>
      </c>
      <c r="K157" s="8">
        <v>20</v>
      </c>
      <c r="L157" s="8">
        <v>38</v>
      </c>
      <c r="M157" s="3">
        <f>I157+L157</f>
        <v>46185</v>
      </c>
      <c r="N157" s="9">
        <f ca="1">L157-(TODAY()-I157)</f>
        <v>12</v>
      </c>
      <c r="O157" s="8" t="str">
        <f ca="1">IF(J157="","",
IF(TODAY()&lt;=J157,"Active",
IF(N157&gt;0,"Grace",
IF(N157&gt;-30,"Inactive","Freeze"))))</f>
        <v>Active</v>
      </c>
      <c r="P157" s="10">
        <v>4400</v>
      </c>
      <c r="Q157" s="11">
        <f>COUNTA(T157:CA157)</f>
        <v>15</v>
      </c>
      <c r="R157" s="3">
        <f>K157-Q157</f>
        <v>5</v>
      </c>
      <c r="S157" s="8" t="str">
        <f>IF(Q157&gt;=K157,"Complete","Incomplete")</f>
        <v>Incomplete</v>
      </c>
      <c r="T157" s="14">
        <v>46147</v>
      </c>
      <c r="U157" s="14">
        <v>46148</v>
      </c>
      <c r="V157" s="14">
        <v>46149</v>
      </c>
      <c r="W157" s="14">
        <v>46150</v>
      </c>
      <c r="X157" s="14">
        <v>46153</v>
      </c>
      <c r="Y157" s="14">
        <v>46154</v>
      </c>
      <c r="Z157" s="14">
        <v>46155</v>
      </c>
      <c r="AA157" s="14">
        <v>46156</v>
      </c>
      <c r="AB157" s="14">
        <v>46157</v>
      </c>
      <c r="AC157" s="14">
        <v>46160</v>
      </c>
      <c r="AD157" s="14">
        <v>46161</v>
      </c>
      <c r="AE157" s="14">
        <v>46163</v>
      </c>
      <c r="AF157" s="14">
        <v>46164</v>
      </c>
      <c r="AG157" s="14">
        <v>46167</v>
      </c>
      <c r="AH157" s="14">
        <v>46168</v>
      </c>
      <c r="CI157" s="4" t="str">
        <f t="shared" si="4"/>
        <v>1</v>
      </c>
      <c r="CJ157" s="13">
        <f>IF(OR(P157="",CI157=""),"",P157/CI157)</f>
        <v>4400</v>
      </c>
      <c r="CK157" s="5">
        <f t="shared" ca="1" si="5"/>
        <v>46173</v>
      </c>
      <c r="CL157" s="13">
        <f ca="1">IF(OR(I157="",J157="",CJ157="",CK157=""),"",
IF(AND(J157&gt;=EOMONTH(CK157,-1)+1,I157&lt;=EOMONTH(CK157,0)),
CJ157*
(MAX(0,MIN(J157,EOMONTH(CK157,0)) - MAX(I157,EOMONTH(CK157,-1)+1) + 1)
/
DAY(EOMONTH(CK157,0))
),
0))</f>
        <v>3832.2580645161293</v>
      </c>
    </row>
    <row r="158" spans="1:90" x14ac:dyDescent="0.2">
      <c r="A158" s="58">
        <v>176</v>
      </c>
      <c r="B158" s="3" t="s">
        <v>377</v>
      </c>
      <c r="C158" s="6">
        <v>43182</v>
      </c>
      <c r="D158" s="3">
        <f ca="1">DATEDIF(C158,TODAY(),"Y") + DATEDIF(C158,TODAY(),"YM")/10</f>
        <v>8.1999999999999993</v>
      </c>
      <c r="E158" s="58" t="s">
        <v>378</v>
      </c>
      <c r="F158" s="3">
        <v>9850035451</v>
      </c>
      <c r="G158" s="7">
        <v>46149</v>
      </c>
      <c r="H158" s="7" t="str">
        <f ca="1">DATEDIF(G158,TODAY(),"M") &amp; " Months"</f>
        <v>0 Months</v>
      </c>
      <c r="I158" s="4">
        <v>46149</v>
      </c>
      <c r="J158" s="4">
        <f>EDATE(I158,3)</f>
        <v>46241</v>
      </c>
      <c r="K158" s="8">
        <v>36</v>
      </c>
      <c r="L158" s="8">
        <v>108</v>
      </c>
      <c r="M158" s="3">
        <f>I158+L158</f>
        <v>46257</v>
      </c>
      <c r="N158" s="9">
        <f ca="1">L158-(TODAY()-I158)</f>
        <v>84</v>
      </c>
      <c r="O158" s="8" t="str">
        <f ca="1">IF(J158="","",
IF(TODAY()&lt;=J158,"Active",
IF(N158&gt;0,"Grace",
IF(N158&gt;-30,"Inactive","Freeze"))))</f>
        <v>Active</v>
      </c>
      <c r="P158" s="10">
        <v>8640</v>
      </c>
      <c r="Q158" s="11">
        <f>COUNTA(T158:CA158)</f>
        <v>7</v>
      </c>
      <c r="R158" s="3">
        <f>K158-Q158</f>
        <v>29</v>
      </c>
      <c r="S158" s="8" t="str">
        <f>IF(Q158&gt;=K158,"Complete","Incomplete")</f>
        <v>Incomplete</v>
      </c>
      <c r="T158" s="14">
        <v>46148</v>
      </c>
      <c r="U158" s="14">
        <v>46149</v>
      </c>
      <c r="V158" s="14">
        <v>46151</v>
      </c>
      <c r="W158" s="14">
        <v>46154</v>
      </c>
      <c r="X158" s="14">
        <v>46164</v>
      </c>
      <c r="Y158" s="14">
        <v>46165</v>
      </c>
      <c r="Z158" s="14">
        <v>46168</v>
      </c>
      <c r="CI158" s="4" t="str">
        <f t="shared" si="4"/>
        <v>3</v>
      </c>
      <c r="CJ158" s="13">
        <f>IF(OR(P158="",CI158=""),"",P158/CI158)</f>
        <v>2880</v>
      </c>
      <c r="CK158" s="5">
        <f t="shared" ca="1" si="5"/>
        <v>46173</v>
      </c>
      <c r="CL158" s="13">
        <f ca="1">IF(OR(I158="",J158="",CJ158="",CK158=""),"",
IF(AND(J158&gt;=EOMONTH(CK158,-1)+1,I158&lt;=EOMONTH(CK158,0)),
CJ158*
(MAX(0,MIN(J158,EOMONTH(CK158,0)) - MAX(I158,EOMONTH(CK158,-1)+1) + 1)
/
DAY(EOMONTH(CK158,0))
),
0))</f>
        <v>2322.5806451612902</v>
      </c>
    </row>
    <row r="159" spans="1:90" x14ac:dyDescent="0.2">
      <c r="A159" s="58">
        <v>177</v>
      </c>
      <c r="B159" s="3" t="s">
        <v>379</v>
      </c>
      <c r="C159" s="6">
        <v>44712</v>
      </c>
      <c r="D159" s="3">
        <f ca="1">DATEDIF(C159,TODAY(),"Y") + DATEDIF(C159,TODAY(),"YM")/10</f>
        <v>4</v>
      </c>
      <c r="E159" s="58" t="s">
        <v>380</v>
      </c>
      <c r="F159" s="3">
        <v>8856890088</v>
      </c>
      <c r="G159" s="7">
        <v>46151</v>
      </c>
      <c r="H159" s="7" t="str">
        <f ca="1">DATEDIF(G159,TODAY(),"M") &amp; " Months"</f>
        <v>0 Months</v>
      </c>
      <c r="I159" s="4">
        <v>46151</v>
      </c>
      <c r="J159" s="4">
        <f>EDATE(I159,1)</f>
        <v>46182</v>
      </c>
      <c r="K159" s="8">
        <v>12</v>
      </c>
      <c r="L159" s="8">
        <v>36</v>
      </c>
      <c r="M159" s="3">
        <f>I159+L159</f>
        <v>46187</v>
      </c>
      <c r="N159" s="9">
        <f ca="1">L159-(TODAY()-I159)</f>
        <v>14</v>
      </c>
      <c r="O159" s="8" t="str">
        <f ca="1">IF(J159="","",
IF(TODAY()&lt;=J159,"Active",
IF(N159&gt;0,"Grace",
IF(N159&gt;-30,"Inactive","Freeze"))))</f>
        <v>Active</v>
      </c>
      <c r="P159" s="10">
        <v>8640</v>
      </c>
      <c r="Q159" s="11">
        <f>COUNTA(T159:CA159)</f>
        <v>7</v>
      </c>
      <c r="R159" s="3">
        <f>K159-Q159</f>
        <v>5</v>
      </c>
      <c r="S159" s="8" t="str">
        <f>IF(Q159&gt;=K159,"Complete","Incomplete")</f>
        <v>Incomplete</v>
      </c>
      <c r="T159" s="14">
        <v>46151</v>
      </c>
      <c r="U159" s="14">
        <v>46154</v>
      </c>
      <c r="V159" s="14">
        <v>46156</v>
      </c>
      <c r="W159" s="14">
        <v>46158</v>
      </c>
      <c r="X159" s="14">
        <v>46161</v>
      </c>
      <c r="Y159" s="14">
        <v>46163</v>
      </c>
      <c r="Z159" s="14">
        <v>46168</v>
      </c>
      <c r="CI159" s="4" t="str">
        <f t="shared" si="4"/>
        <v>1</v>
      </c>
      <c r="CJ159" s="13">
        <f>IF(OR(P159="",CI159=""),"",P159/CI159)</f>
        <v>8640</v>
      </c>
      <c r="CK159" s="5">
        <f t="shared" ca="1" si="5"/>
        <v>46173</v>
      </c>
      <c r="CL159" s="13">
        <f ca="1">IF(OR(I159="",J159="",CJ159="",CK159=""),"",
IF(AND(J159&gt;=EOMONTH(CK159,-1)+1,I159&lt;=EOMONTH(CK159,0)),
CJ159*
(MAX(0,MIN(J159,EOMONTH(CK159,0)) - MAX(I159,EOMONTH(CK159,-1)+1) + 1)
/
DAY(EOMONTH(CK159,0))
),
0))</f>
        <v>6410.322580645161</v>
      </c>
    </row>
    <row r="160" spans="1:90" x14ac:dyDescent="0.2">
      <c r="A160" s="58">
        <v>178</v>
      </c>
      <c r="B160" s="3" t="s">
        <v>381</v>
      </c>
      <c r="C160" s="6">
        <v>42748</v>
      </c>
      <c r="D160" s="3">
        <f ca="1">DATEDIF(C160,TODAY(),"Y") + DATEDIF(C160,TODAY(),"YM")/10</f>
        <v>9.4</v>
      </c>
      <c r="E160" s="58" t="s">
        <v>382</v>
      </c>
      <c r="F160" s="3">
        <v>7507898980</v>
      </c>
      <c r="G160" s="7">
        <v>46147</v>
      </c>
      <c r="H160" s="7" t="str">
        <f ca="1">DATEDIF(G160,TODAY(),"M") &amp; " Months"</f>
        <v>0 Months</v>
      </c>
      <c r="I160" s="4">
        <v>46147</v>
      </c>
      <c r="J160" s="4">
        <f>EDATE(I160,3)</f>
        <v>46239</v>
      </c>
      <c r="K160" s="8">
        <v>36</v>
      </c>
      <c r="L160" s="8">
        <v>108</v>
      </c>
      <c r="M160" s="3">
        <f>I160+L160</f>
        <v>46255</v>
      </c>
      <c r="N160" s="9">
        <f ca="1">L160-(TODAY()-I160)</f>
        <v>82</v>
      </c>
      <c r="O160" s="8" t="str">
        <f ca="1">IF(J160="","",
IF(TODAY()&lt;=J160,"Active",
IF(N160&gt;0,"Grace",
IF(N160&gt;-30,"Inactive","Freeze"))))</f>
        <v>Active</v>
      </c>
      <c r="P160" s="10">
        <v>8640</v>
      </c>
      <c r="Q160" s="11">
        <f>COUNTA(T160:CA160)</f>
        <v>6</v>
      </c>
      <c r="R160" s="3">
        <f>K160-Q160</f>
        <v>30</v>
      </c>
      <c r="S160" s="8" t="str">
        <f>IF(Q160&gt;=K160,"Complete","Incomplete")</f>
        <v>Incomplete</v>
      </c>
      <c r="T160" s="14">
        <v>46151</v>
      </c>
      <c r="U160" s="14">
        <v>46154</v>
      </c>
      <c r="V160" s="14">
        <v>46161</v>
      </c>
      <c r="W160" s="14">
        <v>46163</v>
      </c>
      <c r="X160" s="14">
        <v>46165</v>
      </c>
      <c r="Y160" s="14">
        <v>46168</v>
      </c>
      <c r="CI160" s="4" t="str">
        <f t="shared" si="4"/>
        <v>3</v>
      </c>
      <c r="CJ160" s="13">
        <f>IF(OR(P160="",CI160=""),"",P160/CI160)</f>
        <v>2880</v>
      </c>
      <c r="CK160" s="5">
        <f t="shared" ca="1" si="5"/>
        <v>46173</v>
      </c>
      <c r="CL160" s="13">
        <f ca="1">IF(OR(I160="",J160="",CJ160="",CK160=""),"",
IF(AND(J160&gt;=EOMONTH(CK160,-1)+1,I160&lt;=EOMONTH(CK160,0)),
CJ160*
(MAX(0,MIN(J160,EOMONTH(CK160,0)) - MAX(I160,EOMONTH(CK160,-1)+1) + 1)
/
DAY(EOMONTH(CK160,0))
),
0))</f>
        <v>2508.3870967741937</v>
      </c>
    </row>
    <row r="161" spans="1:90" x14ac:dyDescent="0.2">
      <c r="A161" s="58">
        <v>179</v>
      </c>
      <c r="B161" s="3" t="s">
        <v>383</v>
      </c>
      <c r="C161" s="6">
        <v>42459</v>
      </c>
      <c r="D161" s="3">
        <f ca="1">DATEDIF(C161,TODAY(),"Y") + DATEDIF(C161,TODAY(),"YM")/10</f>
        <v>10.199999999999999</v>
      </c>
      <c r="E161" s="58" t="s">
        <v>384</v>
      </c>
      <c r="F161" s="3">
        <v>7083163178</v>
      </c>
      <c r="G161" s="7">
        <v>46154</v>
      </c>
      <c r="H161" s="7" t="str">
        <f ca="1">DATEDIF(G161,TODAY(),"M") &amp; " Months"</f>
        <v>0 Months</v>
      </c>
      <c r="I161" s="4">
        <v>46154</v>
      </c>
      <c r="J161" s="4">
        <f>EDATE(I161,1)</f>
        <v>46185</v>
      </c>
      <c r="K161" s="8">
        <v>12</v>
      </c>
      <c r="L161" s="8">
        <v>36</v>
      </c>
      <c r="M161" s="3">
        <f>I161+L161</f>
        <v>46190</v>
      </c>
      <c r="N161" s="9">
        <f ca="1">L161-(TODAY()-I161)</f>
        <v>17</v>
      </c>
      <c r="O161" s="8" t="str">
        <f ca="1">IF(J161="","",
IF(TODAY()&lt;=J161,"Active",
IF(N161&gt;0,"Grace",
IF(N161&gt;-30,"Inactive","Freeze"))))</f>
        <v>Active</v>
      </c>
      <c r="P161" s="10">
        <v>2200</v>
      </c>
      <c r="Q161" s="11">
        <f>COUNTA(T161:CA161)</f>
        <v>5</v>
      </c>
      <c r="R161" s="3">
        <f>K161-Q161</f>
        <v>7</v>
      </c>
      <c r="S161" s="8" t="str">
        <f>IF(Q161&gt;=K161,"Complete","Incomplete")</f>
        <v>Incomplete</v>
      </c>
      <c r="T161" s="14">
        <v>46154</v>
      </c>
      <c r="U161" s="14">
        <v>46155</v>
      </c>
      <c r="V161" s="14">
        <v>46156</v>
      </c>
      <c r="W161" s="14">
        <v>46163</v>
      </c>
      <c r="X161" s="14">
        <v>46164</v>
      </c>
      <c r="CI161" s="4" t="str">
        <f t="shared" si="4"/>
        <v>1</v>
      </c>
      <c r="CJ161" s="13">
        <f>IF(OR(P161="",CI161=""),"",P161/CI161)</f>
        <v>2200</v>
      </c>
      <c r="CK161" s="5">
        <f t="shared" ca="1" si="5"/>
        <v>46173</v>
      </c>
      <c r="CL161" s="13">
        <f ca="1">IF(OR(I161="",J161="",CJ161="",CK161=""),"",
IF(AND(J161&gt;=EOMONTH(CK161,-1)+1,I161&lt;=EOMONTH(CK161,0)),
CJ161*
(MAX(0,MIN(J161,EOMONTH(CK161,0)) - MAX(I161,EOMONTH(CK161,-1)+1) + 1)
/
DAY(EOMONTH(CK161,0))
),
0))</f>
        <v>1419.3548387096773</v>
      </c>
    </row>
    <row r="162" spans="1:90" x14ac:dyDescent="0.2">
      <c r="A162" s="58">
        <v>180</v>
      </c>
      <c r="B162" s="3" t="s">
        <v>385</v>
      </c>
      <c r="C162" s="6">
        <v>43619</v>
      </c>
      <c r="D162" s="3">
        <f ca="1">DATEDIF(C162,TODAY(),"Y") + DATEDIF(C162,TODAY(),"YM")/10</f>
        <v>7.1</v>
      </c>
      <c r="E162" s="58" t="s">
        <v>386</v>
      </c>
      <c r="F162" s="3">
        <v>9930215152</v>
      </c>
      <c r="G162" s="7">
        <v>46155</v>
      </c>
      <c r="H162" s="7" t="str">
        <f ca="1">DATEDIF(G162,TODAY(),"M") &amp; " Months"</f>
        <v>0 Months</v>
      </c>
      <c r="I162" s="22">
        <v>46155</v>
      </c>
      <c r="J162" s="4">
        <f>EDATE(I162,1)</f>
        <v>46186</v>
      </c>
      <c r="K162" s="8">
        <v>12</v>
      </c>
      <c r="L162" s="8">
        <v>36</v>
      </c>
      <c r="M162" s="3">
        <f>I162+L162</f>
        <v>46191</v>
      </c>
      <c r="N162" s="9">
        <f ca="1">L162-(TODAY()-I162)</f>
        <v>18</v>
      </c>
      <c r="O162" s="8" t="str">
        <f ca="1">IF(J162="","",
IF(TODAY()&lt;=J162,"Active",
IF(N162&gt;0,"Grace",
IF(N162&gt;-30,"Inactive","Freeze"))))</f>
        <v>Active</v>
      </c>
      <c r="P162" s="10">
        <v>3200</v>
      </c>
      <c r="Q162" s="11">
        <f>COUNTA(T162:CA162)</f>
        <v>6</v>
      </c>
      <c r="R162" s="3">
        <f>K162-Q162</f>
        <v>6</v>
      </c>
      <c r="S162" s="8" t="str">
        <f>IF(Q162&gt;=K162,"Complete","Incomplete")</f>
        <v>Incomplete</v>
      </c>
      <c r="T162" s="14">
        <v>46155</v>
      </c>
      <c r="U162" s="14">
        <v>46157</v>
      </c>
      <c r="V162" s="14">
        <v>46160</v>
      </c>
      <c r="W162" s="14">
        <v>46163</v>
      </c>
      <c r="X162" s="14">
        <v>46167</v>
      </c>
      <c r="Y162" s="14">
        <v>46171</v>
      </c>
      <c r="CI162" s="4" t="str">
        <f t="shared" si="4"/>
        <v>1</v>
      </c>
      <c r="CJ162" s="13">
        <f>IF(OR(P162="",CI162=""),"",P162/CI162)</f>
        <v>3200</v>
      </c>
      <c r="CK162" s="5">
        <f t="shared" ca="1" si="5"/>
        <v>46173</v>
      </c>
      <c r="CL162" s="13">
        <f ca="1">IF(OR(I162="",J162="",CJ162="",CK162=""),"",
IF(AND(J162&gt;=EOMONTH(CK162,-1)+1,I162&lt;=EOMONTH(CK162,0)),
CJ162*
(MAX(0,MIN(J162,EOMONTH(CK162,0)) - MAX(I162,EOMONTH(CK162,-1)+1) + 1)
/
DAY(EOMONTH(CK162,0))
),
0))</f>
        <v>1961.2903225806451</v>
      </c>
    </row>
    <row r="163" spans="1:90" x14ac:dyDescent="0.2">
      <c r="A163" s="58">
        <v>181</v>
      </c>
      <c r="B163" s="3" t="s">
        <v>387</v>
      </c>
      <c r="C163" s="6">
        <v>42184</v>
      </c>
      <c r="D163" s="3">
        <f ca="1">DATEDIF(C163,TODAY(),"Y") + DATEDIF(C163,TODAY(),"YM")/10</f>
        <v>11.1</v>
      </c>
      <c r="E163" s="58" t="s">
        <v>388</v>
      </c>
      <c r="F163" s="3">
        <v>9982740905</v>
      </c>
      <c r="G163" s="7">
        <v>46157</v>
      </c>
      <c r="H163" s="7" t="str">
        <f ca="1">DATEDIF(G163,TODAY(),"M") &amp; " Months"</f>
        <v>0 Months</v>
      </c>
      <c r="I163" s="4">
        <v>46157</v>
      </c>
      <c r="J163" s="4">
        <f>EDATE(I163,1)</f>
        <v>46188</v>
      </c>
      <c r="K163" s="8">
        <v>12</v>
      </c>
      <c r="L163" s="8">
        <v>36</v>
      </c>
      <c r="M163" s="3">
        <f>I163+L163</f>
        <v>46193</v>
      </c>
      <c r="N163" s="9">
        <f ca="1">L163-(TODAY()-I163)</f>
        <v>20</v>
      </c>
      <c r="O163" s="8" t="str">
        <f ca="1">IF(J163="","",
IF(TODAY()&lt;=J163,"Active",
IF(N163&gt;0,"Grace",
IF(N163&gt;-30,"Inactive","Freeze"))))</f>
        <v>Active</v>
      </c>
      <c r="P163" s="10">
        <v>3200</v>
      </c>
      <c r="Q163" s="11">
        <f>COUNTA(T163:CA163)</f>
        <v>8</v>
      </c>
      <c r="R163" s="3">
        <f>K163-Q163</f>
        <v>4</v>
      </c>
      <c r="S163" s="8" t="str">
        <f>IF(Q163&gt;=K163,"Complete","Incomplete")</f>
        <v>Incomplete</v>
      </c>
      <c r="T163" s="14">
        <v>46157</v>
      </c>
      <c r="U163" s="14">
        <v>46158</v>
      </c>
      <c r="V163" s="14">
        <v>46159</v>
      </c>
      <c r="W163" s="14">
        <v>46160</v>
      </c>
      <c r="X163" s="14">
        <v>46163</v>
      </c>
      <c r="Y163" s="14">
        <v>46164</v>
      </c>
      <c r="Z163" s="14">
        <v>46167</v>
      </c>
      <c r="AA163" s="14">
        <v>46169</v>
      </c>
      <c r="CI163" s="4" t="str">
        <f t="shared" si="4"/>
        <v>1</v>
      </c>
      <c r="CJ163" s="13">
        <f>IF(OR(P163="",CI163=""),"",P163/CI163)</f>
        <v>3200</v>
      </c>
      <c r="CK163" s="5">
        <f t="shared" ca="1" si="5"/>
        <v>46173</v>
      </c>
      <c r="CL163" s="13">
        <f ca="1">IF(OR(I163="",J163="",CJ163="",CK163=""),"",
IF(AND(J163&gt;=EOMONTH(CK163,-1)+1,I163&lt;=EOMONTH(CK163,0)),
CJ163*
(MAX(0,MIN(J163,EOMONTH(CK163,0)) - MAX(I163,EOMONTH(CK163,-1)+1) + 1)
/
DAY(EOMONTH(CK163,0))
),
0))</f>
        <v>1754.8387096774193</v>
      </c>
    </row>
    <row r="164" spans="1:90" x14ac:dyDescent="0.2">
      <c r="A164" s="58">
        <v>182</v>
      </c>
      <c r="B164" s="3" t="s">
        <v>389</v>
      </c>
      <c r="C164" s="6">
        <v>44784</v>
      </c>
      <c r="D164" s="3">
        <f ca="1">DATEDIF(C164,TODAY(),"Y") + DATEDIF(C164,TODAY(),"YM")/10</f>
        <v>3.9</v>
      </c>
      <c r="E164" s="58" t="s">
        <v>390</v>
      </c>
      <c r="F164" s="3">
        <v>9421794217</v>
      </c>
      <c r="G164" s="7">
        <v>46160</v>
      </c>
      <c r="H164" s="7" t="str">
        <f ca="1">DATEDIF(G164,TODAY(),"M") &amp; " Months"</f>
        <v>0 Months</v>
      </c>
      <c r="I164" s="4">
        <v>46160</v>
      </c>
      <c r="J164" s="4">
        <f>EDATE(I164,1)</f>
        <v>46191</v>
      </c>
      <c r="K164" s="8">
        <v>12</v>
      </c>
      <c r="L164" s="8">
        <v>36</v>
      </c>
      <c r="M164" s="3">
        <f>I164+L164</f>
        <v>46196</v>
      </c>
      <c r="N164" s="9">
        <f ca="1">L164-(TODAY()-I164)</f>
        <v>23</v>
      </c>
      <c r="O164" s="8" t="str">
        <f ca="1">IF(J164="","",
IF(TODAY()&lt;=J164,"Active",
IF(N164&gt;0,"Grace",
IF(N164&gt;-30,"Inactive","Freeze"))))</f>
        <v>Active</v>
      </c>
      <c r="P164" s="10">
        <v>3200</v>
      </c>
      <c r="Q164" s="11">
        <f>COUNTA(T164:CA164)</f>
        <v>5</v>
      </c>
      <c r="R164" s="3">
        <f>K164-Q164</f>
        <v>7</v>
      </c>
      <c r="S164" s="8" t="str">
        <f>IF(Q164&gt;=K164,"Complete","Incomplete")</f>
        <v>Incomplete</v>
      </c>
      <c r="T164" s="14">
        <v>46163</v>
      </c>
      <c r="U164" s="14">
        <v>46166</v>
      </c>
      <c r="V164" s="14">
        <v>46167</v>
      </c>
      <c r="W164" s="14">
        <v>46169</v>
      </c>
      <c r="X164" s="14">
        <v>46171</v>
      </c>
      <c r="CI164" s="4" t="str">
        <f t="shared" si="4"/>
        <v>1</v>
      </c>
      <c r="CJ164" s="13">
        <f>IF(OR(P164="",CI164=""),"",P164/CI164)</f>
        <v>3200</v>
      </c>
      <c r="CK164" s="5">
        <f t="shared" ca="1" si="5"/>
        <v>46173</v>
      </c>
      <c r="CL164" s="13">
        <f ca="1">IF(OR(I164="",J164="",CJ164="",CK164=""),"",
IF(AND(J164&gt;=EOMONTH(CK164,-1)+1,I164&lt;=EOMONTH(CK164,0)),
CJ164*
(MAX(0,MIN(J164,EOMONTH(CK164,0)) - MAX(I164,EOMONTH(CK164,-1)+1) + 1)
/
DAY(EOMONTH(CK164,0))
),
0))</f>
        <v>1445.1612903225805</v>
      </c>
    </row>
    <row r="165" spans="1:90" x14ac:dyDescent="0.2">
      <c r="A165" s="58">
        <v>183</v>
      </c>
      <c r="B165" s="3" t="s">
        <v>391</v>
      </c>
      <c r="C165" s="6">
        <v>44750</v>
      </c>
      <c r="D165" s="3">
        <f ca="1">DATEDIF(C165,TODAY(),"Y") + DATEDIF(C165,TODAY(),"YM")/10</f>
        <v>4</v>
      </c>
      <c r="E165" s="58" t="s">
        <v>392</v>
      </c>
      <c r="F165" s="3">
        <v>8806464607</v>
      </c>
      <c r="G165" s="7">
        <v>46160</v>
      </c>
      <c r="H165" s="7" t="str">
        <f ca="1">DATEDIF(G165,TODAY(),"M") &amp; " Months"</f>
        <v>0 Months</v>
      </c>
      <c r="I165" s="4">
        <v>46160</v>
      </c>
      <c r="J165" s="4">
        <f>EDATE(I165,1)</f>
        <v>46191</v>
      </c>
      <c r="K165" s="8">
        <v>12</v>
      </c>
      <c r="L165" s="8">
        <v>36</v>
      </c>
      <c r="M165" s="3">
        <f>I165+L165</f>
        <v>46196</v>
      </c>
      <c r="N165" s="9">
        <f ca="1">L165-(TODAY()-I165)</f>
        <v>23</v>
      </c>
      <c r="O165" s="8" t="str">
        <f ca="1">IF(J165="","",
IF(TODAY()&lt;=J165,"Active",
IF(N165&gt;0,"Grace",
IF(N165&gt;-30,"Inactive","Freeze"))))</f>
        <v>Active</v>
      </c>
      <c r="P165" s="10">
        <v>3200</v>
      </c>
      <c r="Q165" s="11">
        <f>COUNTA(T165:CA165)</f>
        <v>2</v>
      </c>
      <c r="R165" s="3">
        <f>K165-Q165</f>
        <v>10</v>
      </c>
      <c r="S165" s="8" t="str">
        <f>IF(Q165&gt;=K165,"Complete","Incomplete")</f>
        <v>Incomplete</v>
      </c>
      <c r="T165" s="14">
        <v>46169</v>
      </c>
      <c r="U165" s="14">
        <v>46171</v>
      </c>
      <c r="CI165" s="4" t="str">
        <f t="shared" si="4"/>
        <v>1</v>
      </c>
      <c r="CJ165" s="13">
        <f>IF(OR(P165="",CI165=""),"",P165/CI165)</f>
        <v>3200</v>
      </c>
      <c r="CK165" s="5">
        <f t="shared" ca="1" si="5"/>
        <v>46173</v>
      </c>
      <c r="CL165" s="13">
        <f ca="1">IF(OR(I165="",J165="",CJ165="",CK165=""),"",
IF(AND(J165&gt;=EOMONTH(CK165,-1)+1,I165&lt;=EOMONTH(CK165,0)),
CJ165*
(MAX(0,MIN(J165,EOMONTH(CK165,0)) - MAX(I165,EOMONTH(CK165,-1)+1) + 1)
/
DAY(EOMONTH(CK165,0))
),
0))</f>
        <v>1445.1612903225805</v>
      </c>
    </row>
    <row r="166" spans="1:90" x14ac:dyDescent="0.2">
      <c r="A166" s="58">
        <v>184</v>
      </c>
      <c r="B166" s="3" t="s">
        <v>393</v>
      </c>
      <c r="C166" s="6">
        <v>44867</v>
      </c>
      <c r="D166" s="3">
        <f ca="1">DATEDIF(C166,TODAY(),"Y") + DATEDIF(C166,TODAY(),"YM")/10</f>
        <v>3.6</v>
      </c>
      <c r="E166" s="58" t="s">
        <v>394</v>
      </c>
      <c r="F166" s="3">
        <v>9172118690</v>
      </c>
      <c r="G166" s="7">
        <v>46160</v>
      </c>
      <c r="H166" s="7" t="str">
        <f ca="1">DATEDIF(G166,TODAY(),"M") &amp; " Months"</f>
        <v>0 Months</v>
      </c>
      <c r="I166" s="4">
        <v>46160</v>
      </c>
      <c r="J166" s="4">
        <f>EDATE(I166,1)</f>
        <v>46191</v>
      </c>
      <c r="K166" s="8">
        <v>12</v>
      </c>
      <c r="L166" s="8">
        <v>36</v>
      </c>
      <c r="M166" s="3">
        <f>I166+L166</f>
        <v>46196</v>
      </c>
      <c r="N166" s="9">
        <f ca="1">L166-(TODAY()-I166)</f>
        <v>23</v>
      </c>
      <c r="O166" s="8" t="str">
        <f ca="1">IF(J166="","",
IF(TODAY()&lt;=J166,"Active",
IF(N166&gt;0,"Grace",
IF(N166&gt;-30,"Inactive","Freeze"))))</f>
        <v>Active</v>
      </c>
      <c r="P166" s="10">
        <v>3200</v>
      </c>
      <c r="Q166" s="11">
        <f>COUNTA(T166:CA166)</f>
        <v>3</v>
      </c>
      <c r="R166" s="3">
        <f>K166-Q166</f>
        <v>9</v>
      </c>
      <c r="S166" s="8" t="str">
        <f>IF(Q166&gt;=K166,"Complete","Incomplete")</f>
        <v>Incomplete</v>
      </c>
      <c r="T166" s="14">
        <v>46164</v>
      </c>
      <c r="U166" s="14">
        <v>46167</v>
      </c>
      <c r="V166" s="14">
        <v>46169</v>
      </c>
      <c r="CI166" s="4" t="str">
        <f t="shared" si="4"/>
        <v>1</v>
      </c>
      <c r="CJ166" s="13">
        <f>IF(OR(P166="",CI166=""),"",P166/CI166)</f>
        <v>3200</v>
      </c>
      <c r="CK166" s="5">
        <f t="shared" ca="1" si="5"/>
        <v>46173</v>
      </c>
      <c r="CL166" s="13">
        <f ca="1">IF(OR(I166="",J166="",CJ166="",CK166=""),"",
IF(AND(J166&gt;=EOMONTH(CK166,-1)+1,I166&lt;=EOMONTH(CK166,0)),
CJ166*
(MAX(0,MIN(J166,EOMONTH(CK166,0)) - MAX(I166,EOMONTH(CK166,-1)+1) + 1)
/
DAY(EOMONTH(CK166,0))
),
0))</f>
        <v>1445.1612903225805</v>
      </c>
    </row>
    <row r="167" spans="1:90" x14ac:dyDescent="0.2">
      <c r="A167" s="58">
        <v>185</v>
      </c>
      <c r="B167" s="3" t="s">
        <v>395</v>
      </c>
      <c r="C167" s="6">
        <v>43993</v>
      </c>
      <c r="D167" s="3">
        <f ca="1">DATEDIF(C167,TODAY(),"Y") + DATEDIF(C167,TODAY(),"YM")/10</f>
        <v>6.1</v>
      </c>
      <c r="E167" s="58" t="s">
        <v>396</v>
      </c>
      <c r="F167" s="3">
        <v>9819018486</v>
      </c>
      <c r="G167" s="7">
        <v>46160</v>
      </c>
      <c r="H167" s="7" t="str">
        <f ca="1">DATEDIF(G167,TODAY(),"M") &amp; " Months"</f>
        <v>0 Months</v>
      </c>
      <c r="I167" s="4">
        <v>46160</v>
      </c>
      <c r="J167" s="4">
        <f>EDATE(I167,1)</f>
        <v>46191</v>
      </c>
      <c r="K167" s="8">
        <v>10</v>
      </c>
      <c r="L167" s="8">
        <v>12</v>
      </c>
      <c r="M167" s="3">
        <f>I167+L167</f>
        <v>46172</v>
      </c>
      <c r="N167" s="9">
        <f ca="1">L167-(TODAY()-I167)</f>
        <v>-1</v>
      </c>
      <c r="O167" s="8" t="str">
        <f ca="1">IF(J167="","",
IF(TODAY()&lt;=J167,"Active",
IF(N167&gt;0,"Grace",
IF(N167&gt;-30,"Inactive","Freeze"))))</f>
        <v>Active</v>
      </c>
      <c r="P167" s="10">
        <v>2200</v>
      </c>
      <c r="Q167" s="11">
        <f>COUNTA(T167:CA167)</f>
        <v>7</v>
      </c>
      <c r="R167" s="3">
        <f>K167-Q167</f>
        <v>3</v>
      </c>
      <c r="S167" s="8" t="str">
        <f>IF(Q167&gt;=K167,"Complete","Incomplete")</f>
        <v>Incomplete</v>
      </c>
      <c r="T167" s="14">
        <v>46160</v>
      </c>
      <c r="U167" s="14">
        <v>46161</v>
      </c>
      <c r="V167" s="14">
        <v>46163</v>
      </c>
      <c r="W167" s="14">
        <v>46164</v>
      </c>
      <c r="X167" s="14">
        <v>46167</v>
      </c>
      <c r="Y167" s="14">
        <v>46168</v>
      </c>
      <c r="Z167" s="14">
        <v>46171</v>
      </c>
      <c r="CI167" s="4" t="str">
        <f t="shared" si="4"/>
        <v>1</v>
      </c>
      <c r="CJ167" s="13">
        <f>IF(OR(P167="",CI167=""),"",P167/CI167)</f>
        <v>2200</v>
      </c>
      <c r="CK167" s="5">
        <f t="shared" ca="1" si="5"/>
        <v>46173</v>
      </c>
      <c r="CL167" s="13">
        <f ca="1">IF(OR(I167="",J167="",CJ167="",CK167=""),"",
IF(AND(J167&gt;=EOMONTH(CK167,-1)+1,I167&lt;=EOMONTH(CK167,0)),
CJ167*
(MAX(0,MIN(J167,EOMONTH(CK167,0)) - MAX(I167,EOMONTH(CK167,-1)+1) + 1)
/
DAY(EOMONTH(CK167,0))
),
0))</f>
        <v>993.54838709677415</v>
      </c>
    </row>
    <row r="168" spans="1:90" x14ac:dyDescent="0.2">
      <c r="A168" s="58">
        <v>186</v>
      </c>
      <c r="B168" s="3" t="s">
        <v>397</v>
      </c>
      <c r="C168" s="6">
        <v>43462</v>
      </c>
      <c r="D168" s="3">
        <f ca="1">DATEDIF(C168,TODAY(),"Y") + DATEDIF(C168,TODAY(),"YM")/10</f>
        <v>7.5</v>
      </c>
      <c r="E168" s="58" t="s">
        <v>398</v>
      </c>
      <c r="F168" s="3">
        <v>7875550449</v>
      </c>
      <c r="G168" s="7">
        <v>46160</v>
      </c>
      <c r="H168" s="7" t="str">
        <f ca="1">DATEDIF(G168,TODAY(),"M") &amp; " Months"</f>
        <v>0 Months</v>
      </c>
      <c r="I168" s="4">
        <v>46160</v>
      </c>
      <c r="J168" s="4">
        <f>EDATE(I168,1)</f>
        <v>46191</v>
      </c>
      <c r="K168" s="8">
        <v>10</v>
      </c>
      <c r="L168" s="8">
        <v>12</v>
      </c>
      <c r="M168" s="3">
        <f>I168+L168</f>
        <v>46172</v>
      </c>
      <c r="N168" s="9">
        <f ca="1">L168-(TODAY()-I168)</f>
        <v>-1</v>
      </c>
      <c r="O168" s="8" t="str">
        <f ca="1">IF(J168="","",
IF(TODAY()&lt;=J168,"Active",
IF(N168&gt;0,"Grace",
IF(N168&gt;-30,"Inactive","Freeze"))))</f>
        <v>Active</v>
      </c>
      <c r="P168" s="10">
        <v>2200</v>
      </c>
      <c r="Q168" s="11">
        <f>COUNTA(T168:CA168)</f>
        <v>6</v>
      </c>
      <c r="R168" s="3">
        <f>K168-Q168</f>
        <v>4</v>
      </c>
      <c r="S168" s="8" t="str">
        <f>IF(Q168&gt;=K168,"Complete","Incomplete")</f>
        <v>Incomplete</v>
      </c>
      <c r="T168" s="14">
        <v>46161</v>
      </c>
      <c r="U168" s="14">
        <v>46163</v>
      </c>
      <c r="V168" s="14">
        <v>46164</v>
      </c>
      <c r="W168" s="14">
        <v>46167</v>
      </c>
      <c r="X168" s="14">
        <v>46168</v>
      </c>
      <c r="Y168" s="14">
        <v>46171</v>
      </c>
      <c r="CI168" s="4" t="str">
        <f t="shared" si="4"/>
        <v>1</v>
      </c>
      <c r="CJ168" s="13">
        <f>IF(OR(P168="",CI168=""),"",P168/CI168)</f>
        <v>2200</v>
      </c>
      <c r="CK168" s="5">
        <f t="shared" ca="1" si="5"/>
        <v>46173</v>
      </c>
      <c r="CL168" s="13">
        <f ca="1">IF(OR(I168="",J168="",CJ168="",CK168=""),"",
IF(AND(J168&gt;=EOMONTH(CK168,-1)+1,I168&lt;=EOMONTH(CK168,0)),
CJ168*
(MAX(0,MIN(J168,EOMONTH(CK168,0)) - MAX(I168,EOMONTH(CK168,-1)+1) + 1)
/
DAY(EOMONTH(CK168,0))
),
0))</f>
        <v>993.54838709677415</v>
      </c>
    </row>
    <row r="169" spans="1:90" x14ac:dyDescent="0.2">
      <c r="A169" s="58">
        <v>187</v>
      </c>
      <c r="B169" s="3" t="s">
        <v>399</v>
      </c>
      <c r="C169" s="6">
        <v>44626</v>
      </c>
      <c r="D169" s="3">
        <f ca="1">DATEDIF(C169,TODAY(),"Y") + DATEDIF(C169,TODAY(),"YM")/10</f>
        <v>4.2</v>
      </c>
      <c r="E169" s="58" t="s">
        <v>400</v>
      </c>
      <c r="F169" s="3">
        <v>9765656616</v>
      </c>
      <c r="G169" s="7">
        <v>46164</v>
      </c>
      <c r="H169" s="7" t="str">
        <f ca="1">DATEDIF(G169,TODAY(),"M") &amp; " Months"</f>
        <v>0 Months</v>
      </c>
      <c r="I169" s="4">
        <v>46163</v>
      </c>
      <c r="J169" s="4">
        <f>EDATE(I169,1)</f>
        <v>46194</v>
      </c>
      <c r="K169" s="8">
        <v>26</v>
      </c>
      <c r="L169" s="8">
        <v>47</v>
      </c>
      <c r="M169" s="3">
        <f>I169+L169</f>
        <v>46210</v>
      </c>
      <c r="N169" s="9">
        <f ca="1">L169-(TODAY()-I169)</f>
        <v>37</v>
      </c>
      <c r="O169" s="8" t="str">
        <f ca="1">IF(J169="","",
IF(TODAY()&lt;=J169,"Active",
IF(N169&gt;0,"Grace",
IF(N169&gt;-30,"Inactive","Freeze"))))</f>
        <v>Active</v>
      </c>
      <c r="P169" s="10">
        <v>6020</v>
      </c>
      <c r="Q169" s="11">
        <f>COUNTA(T169:CA169)</f>
        <v>6</v>
      </c>
      <c r="R169" s="3">
        <f>K169-Q169</f>
        <v>20</v>
      </c>
      <c r="S169" s="8" t="str">
        <f>IF(Q169&gt;=K169,"Complete","Incomplete")</f>
        <v>Incomplete</v>
      </c>
      <c r="T169" s="14">
        <v>46163</v>
      </c>
      <c r="U169" s="14">
        <v>46164</v>
      </c>
      <c r="V169" s="14">
        <v>46167</v>
      </c>
      <c r="W169" s="14">
        <v>46168</v>
      </c>
      <c r="X169" s="14">
        <v>46169</v>
      </c>
      <c r="Y169" s="14">
        <v>46171</v>
      </c>
      <c r="CI169" s="4" t="str">
        <f t="shared" si="4"/>
        <v>1</v>
      </c>
      <c r="CJ169" s="13">
        <f>IF(OR(P169="",CI169=""),"",P169/CI169)</f>
        <v>6020</v>
      </c>
      <c r="CK169" s="5">
        <f ca="1">CK168</f>
        <v>46173</v>
      </c>
      <c r="CL169" s="13">
        <f ca="1">IF(OR(I169="",J169="",CJ169="",CK169=""),"",
IF(AND(J169&gt;=EOMONTH(CK169,-1)+1,I169&lt;=EOMONTH(CK169,0)),
CJ169*
(MAX(0,MIN(J169,EOMONTH(CK169,0)) - MAX(I169,EOMONTH(CK169,-1)+1) + 1)
/
DAY(EOMONTH(CK169,0))
),
0))</f>
        <v>2136.1290322580644</v>
      </c>
    </row>
    <row r="170" spans="1:90" x14ac:dyDescent="0.2">
      <c r="A170" s="58">
        <v>188</v>
      </c>
      <c r="B170" s="3" t="s">
        <v>401</v>
      </c>
      <c r="C170" s="6">
        <v>44839</v>
      </c>
      <c r="D170" s="3">
        <f ca="1">DATEDIF(C170,TODAY(),"Y") + DATEDIF(C170,TODAY(),"YM")/10</f>
        <v>3.7</v>
      </c>
      <c r="E170" s="3" t="s">
        <v>402</v>
      </c>
      <c r="F170" s="3">
        <v>9991668983</v>
      </c>
      <c r="G170" s="7">
        <v>46167</v>
      </c>
      <c r="H170" s="7" t="str">
        <f ca="1">DATEDIF(G170,TODAY(),"M") &amp; " Months"</f>
        <v>0 Months</v>
      </c>
      <c r="I170" s="4">
        <v>46168</v>
      </c>
      <c r="J170" s="4">
        <f>EDATE(I170,1)</f>
        <v>46199</v>
      </c>
      <c r="K170" s="8">
        <v>5</v>
      </c>
      <c r="L170" s="8">
        <v>10</v>
      </c>
      <c r="M170" s="3">
        <f>I170+L170</f>
        <v>46178</v>
      </c>
      <c r="N170" s="9">
        <f ca="1">L170-(TODAY()-I170)</f>
        <v>5</v>
      </c>
      <c r="O170" s="8" t="str">
        <f ca="1">IF(J170="","",
IF(TODAY()&lt;=J170,"Active",
IF(N170&gt;0,"Grace",
IF(N170&gt;-30,"Inactive","Freeze"))))</f>
        <v>Active</v>
      </c>
      <c r="P170" s="10">
        <v>1100</v>
      </c>
      <c r="Q170" s="11">
        <f>COUNTA(T170:CA170)</f>
        <v>3</v>
      </c>
      <c r="R170" s="3">
        <f>K170-Q170</f>
        <v>2</v>
      </c>
      <c r="S170" s="8" t="str">
        <f>IF(Q170&gt;=K170,"Complete","Incomplete")</f>
        <v>Incomplete</v>
      </c>
      <c r="T170" s="14">
        <v>46168</v>
      </c>
      <c r="U170" s="14">
        <v>46169</v>
      </c>
      <c r="V170" s="14">
        <v>46171</v>
      </c>
      <c r="CI170" s="4" t="str">
        <f t="shared" si="4"/>
        <v>1</v>
      </c>
      <c r="CJ170" s="13">
        <f>IF(OR(P170="",CI170=""),"",P170/CI170)</f>
        <v>1100</v>
      </c>
      <c r="CK170" s="5">
        <f t="shared" ca="1" si="5"/>
        <v>46173</v>
      </c>
      <c r="CL170" s="13">
        <f ca="1">IF(OR(I170="",J170="",CJ170="",CK170=""),"",
IF(AND(J170&gt;=EOMONTH(CK170,-1)+1,I170&lt;=EOMONTH(CK170,0)),
CJ170*
(MAX(0,MIN(J170,EOMONTH(CK170,0)) - MAX(I170,EOMONTH(CK170,-1)+1) + 1)
/
DAY(EOMONTH(CK170,0))
),
0))</f>
        <v>212.90322580645162</v>
      </c>
    </row>
    <row r="171" spans="1:90" x14ac:dyDescent="0.2">
      <c r="A171" s="58">
        <v>189</v>
      </c>
      <c r="B171" s="3" t="s">
        <v>403</v>
      </c>
      <c r="C171" s="6">
        <v>42030</v>
      </c>
      <c r="D171" s="3">
        <f ca="1">DATEDIF(C171,TODAY(),"Y") + DATEDIF(C171,TODAY(),"YM")/10</f>
        <v>11.4</v>
      </c>
      <c r="E171" s="3" t="s">
        <v>404</v>
      </c>
      <c r="F171" s="3">
        <v>8806017757</v>
      </c>
      <c r="G171" s="7">
        <v>46167</v>
      </c>
      <c r="H171" s="7" t="str">
        <f ca="1">DATEDIF(G171,TODAY(),"M") &amp; " Months"</f>
        <v>0 Months</v>
      </c>
      <c r="I171" s="4">
        <v>46167</v>
      </c>
      <c r="J171" s="4">
        <f>EDATE(I171,1)</f>
        <v>46198</v>
      </c>
      <c r="K171" s="8">
        <v>16</v>
      </c>
      <c r="L171" s="8">
        <v>42</v>
      </c>
      <c r="M171" s="3">
        <f>I171+L171</f>
        <v>46209</v>
      </c>
      <c r="N171" s="9">
        <f ca="1">L171-(TODAY()-I171)</f>
        <v>36</v>
      </c>
      <c r="O171" s="8" t="str">
        <f ca="1">IF(J171="","",
IF(TODAY()&lt;=J171,"Active",
IF(N171&gt;0,"Grace",
IF(N171&gt;-30,"Inactive","Freeze"))))</f>
        <v>Active</v>
      </c>
      <c r="P171" s="10">
        <v>4272</v>
      </c>
      <c r="Q171" s="11">
        <f>COUNTA(T171:CA171)</f>
        <v>2</v>
      </c>
      <c r="R171" s="3">
        <f>K171-Q171</f>
        <v>14</v>
      </c>
      <c r="S171" s="8" t="str">
        <f>IF(Q171&gt;=K171,"Complete","Incomplete")</f>
        <v>Incomplete</v>
      </c>
      <c r="T171" s="14">
        <v>46168</v>
      </c>
      <c r="U171" s="14">
        <v>46171</v>
      </c>
      <c r="CI171" s="4" t="str">
        <f t="shared" si="4"/>
        <v>1</v>
      </c>
      <c r="CJ171" s="13">
        <f>IF(OR(P171="",CI171=""),"",P171/CI171)</f>
        <v>4272</v>
      </c>
      <c r="CK171" s="5">
        <f t="shared" ca="1" si="5"/>
        <v>46173</v>
      </c>
      <c r="CL171" s="13">
        <f ca="1">IF(OR(I171="",J171="",CJ171="",CK171=""),"",
IF(AND(J171&gt;=EOMONTH(CK171,-1)+1,I171&lt;=EOMONTH(CK171,0)),
CJ171*
(MAX(0,MIN(J171,EOMONTH(CK171,0)) - MAX(I171,EOMONTH(CK171,-1)+1) + 1)
/
DAY(EOMONTH(CK171,0))
),
0))</f>
        <v>964.64516129032256</v>
      </c>
    </row>
    <row r="172" spans="1:90" x14ac:dyDescent="0.2">
      <c r="A172" s="58">
        <v>190</v>
      </c>
      <c r="B172" s="3" t="s">
        <v>405</v>
      </c>
      <c r="C172" s="6">
        <v>44834</v>
      </c>
      <c r="D172" s="3">
        <f ca="1">DATEDIF(C172,TODAY(),"Y") + DATEDIF(C172,TODAY(),"YM")/10</f>
        <v>3.8</v>
      </c>
      <c r="E172" s="3" t="s">
        <v>406</v>
      </c>
      <c r="F172" s="3">
        <v>9637775844</v>
      </c>
      <c r="G172" s="7">
        <v>46169</v>
      </c>
      <c r="H172" s="7" t="str">
        <f ca="1">DATEDIF(G172,TODAY(),"M") &amp; " Months"</f>
        <v>0 Months</v>
      </c>
      <c r="I172" s="4">
        <v>46169</v>
      </c>
      <c r="J172" s="4">
        <f>EDATE(I172,1)</f>
        <v>46200</v>
      </c>
      <c r="K172" s="8">
        <v>9</v>
      </c>
      <c r="L172" s="8">
        <v>20</v>
      </c>
      <c r="M172" s="3">
        <f>I172+L172</f>
        <v>46189</v>
      </c>
      <c r="N172" s="9">
        <f ca="1">L172-(TODAY()-I172)</f>
        <v>16</v>
      </c>
      <c r="O172" s="8" t="str">
        <f ca="1">IF(J172="","",
IF(TODAY()&lt;=J172,"Active",
IF(N172&gt;0,"Grace",
IF(N172&gt;-30,"Inactive","Freeze"))))</f>
        <v>Active</v>
      </c>
      <c r="P172" s="10">
        <v>2403</v>
      </c>
      <c r="Q172" s="11">
        <f>COUNTA(T172:CA172)</f>
        <v>1</v>
      </c>
      <c r="R172" s="3">
        <f>K172-Q172</f>
        <v>8</v>
      </c>
      <c r="S172" s="8" t="str">
        <f>IF(Q172&gt;=K172,"Complete","Incomplete")</f>
        <v>Incomplete</v>
      </c>
      <c r="T172" s="14">
        <v>46171</v>
      </c>
      <c r="CI172" s="4" t="str">
        <f t="shared" si="4"/>
        <v>1</v>
      </c>
      <c r="CJ172" s="13">
        <f>IF(OR(P172="",CI172=""),"",P172/CI172)</f>
        <v>2403</v>
      </c>
      <c r="CK172" s="5">
        <f t="shared" ca="1" si="5"/>
        <v>46173</v>
      </c>
      <c r="CL172" s="13">
        <f ca="1">IF(OR(I172="",J172="",CJ172="",CK172=""),"",
IF(AND(J172&gt;=EOMONTH(CK172,-1)+1,I172&lt;=EOMONTH(CK172,0)),
CJ172*
(MAX(0,MIN(J172,EOMONTH(CK172,0)) - MAX(I172,EOMONTH(CK172,-1)+1) + 1)
/
DAY(EOMONTH(CK172,0))
),
0))</f>
        <v>387.58064516129031</v>
      </c>
    </row>
    <row r="173" spans="1:90" x14ac:dyDescent="0.2">
      <c r="A173" s="58">
        <v>191</v>
      </c>
      <c r="D173" s="3">
        <f ca="1">DATEDIF(C173,TODAY(),"Y") + DATEDIF(C173,TODAY(),"YM")/10</f>
        <v>126.4</v>
      </c>
      <c r="H173" s="7" t="str">
        <f ca="1">DATEDIF(G173,TODAY(),"M") &amp; " Months"</f>
        <v>1516 Months</v>
      </c>
      <c r="J173" s="4">
        <f>EDATE(I173,3)</f>
        <v>91</v>
      </c>
      <c r="M173" s="3">
        <f>I173+L173</f>
        <v>0</v>
      </c>
      <c r="N173" s="9">
        <f ca="1">L173-(TODAY()-I173)</f>
        <v>-46173</v>
      </c>
      <c r="O173" s="8" t="str">
        <f ca="1">IF(J173="","",
IF(TODAY()&lt;=J173,"Active",
IF(N173&gt;0,"Grace",
IF(N173&gt;-30,"Inactive","Freeze"))))</f>
        <v>Freeze</v>
      </c>
      <c r="P173" s="10"/>
      <c r="Q173" s="11">
        <f>COUNTA(T173:CA173)</f>
        <v>0</v>
      </c>
      <c r="R173" s="3">
        <f>K173-Q173</f>
        <v>0</v>
      </c>
      <c r="S173" s="8" t="str">
        <f>IF(Q173&gt;=K173,"Complete","Incomplete")</f>
        <v>Complete</v>
      </c>
      <c r="CI173" s="4" t="str">
        <f t="shared" si="4"/>
        <v/>
      </c>
      <c r="CJ173" s="13" t="str">
        <f>IF(OR(P173="",CI173=""),"",P173/CI173)</f>
        <v/>
      </c>
      <c r="CK173" s="5">
        <f t="shared" ca="1" si="5"/>
        <v>46173</v>
      </c>
      <c r="CL173" s="13" t="str">
        <f ca="1">IF(OR(I173="",J173="",CJ173="",CK173=""),"",
IF(AND(J173&gt;=EOMONTH(CK173,-1)+1,I173&lt;=EOMONTH(CK173,0)),
CJ173*
(MAX(0,MIN(J173,EOMONTH(CK173,0)) - MAX(I173,EOMONTH(CK173,-1)+1) + 1)
/
DAY(EOMONTH(CK173,0))
),
0))</f>
        <v/>
      </c>
    </row>
    <row r="174" spans="1:90" x14ac:dyDescent="0.2">
      <c r="A174" s="58">
        <v>192</v>
      </c>
      <c r="D174" s="3">
        <f ca="1">DATEDIF(C174,TODAY(),"Y") + DATEDIF(C174,TODAY(),"YM")/10</f>
        <v>126.4</v>
      </c>
      <c r="H174" s="7" t="str">
        <f ca="1">DATEDIF(G174,TODAY(),"M") &amp; " Months"</f>
        <v>1516 Months</v>
      </c>
      <c r="J174" s="4">
        <f>EDATE(I174,3)</f>
        <v>91</v>
      </c>
      <c r="M174" s="3">
        <f>I174+L174</f>
        <v>0</v>
      </c>
      <c r="N174" s="9">
        <f ca="1">L174-(TODAY()-I174)</f>
        <v>-46173</v>
      </c>
      <c r="O174" s="8" t="str">
        <f ca="1">IF(J174="","",
IF(TODAY()&lt;=J174,"Active",
IF(N174&gt;0,"Grace",
IF(N174&gt;-30,"Inactive","Freeze"))))</f>
        <v>Freeze</v>
      </c>
      <c r="P174" s="10"/>
      <c r="Q174" s="11">
        <f>COUNTA(T174:CA174)</f>
        <v>0</v>
      </c>
      <c r="R174" s="3">
        <f>K174-Q174</f>
        <v>0</v>
      </c>
      <c r="S174" s="8" t="str">
        <f>IF(Q174&gt;=K174,"Complete","Incomplete")</f>
        <v>Complete</v>
      </c>
      <c r="CI174" s="4" t="str">
        <f t="shared" si="4"/>
        <v/>
      </c>
      <c r="CJ174" s="13" t="str">
        <f>IF(OR(P174="",CI174=""),"",P174/CI174)</f>
        <v/>
      </c>
      <c r="CK174" s="5">
        <f t="shared" ca="1" si="5"/>
        <v>46173</v>
      </c>
      <c r="CL174" s="13" t="str">
        <f ca="1">IF(OR(I174="",J174="",CJ174="",CK174=""),"",
IF(AND(J174&gt;=EOMONTH(CK174,-1)+1,I174&lt;=EOMONTH(CK174,0)),
CJ174*
(MAX(0,MIN(J174,EOMONTH(CK174,0)) - MAX(I174,EOMONTH(CK174,-1)+1) + 1)
/
DAY(EOMONTH(CK174,0))
),
0))</f>
        <v/>
      </c>
    </row>
    <row r="175" spans="1:90" x14ac:dyDescent="0.2">
      <c r="A175" s="58">
        <v>193</v>
      </c>
      <c r="D175" s="3">
        <f ca="1">DATEDIF(C175,TODAY(),"Y") + DATEDIF(C175,TODAY(),"YM")/10</f>
        <v>126.4</v>
      </c>
      <c r="H175" s="7" t="str">
        <f ca="1">DATEDIF(G175,TODAY(),"M") &amp; " Months"</f>
        <v>1516 Months</v>
      </c>
      <c r="J175" s="4">
        <f>EDATE(I175,3)</f>
        <v>91</v>
      </c>
      <c r="M175" s="3">
        <f>I175+L175</f>
        <v>0</v>
      </c>
      <c r="N175" s="9">
        <f ca="1">L175-(TODAY()-I175)</f>
        <v>-46173</v>
      </c>
      <c r="O175" s="8" t="str">
        <f ca="1">IF(J175="","",
IF(TODAY()&lt;=J175,"Active",
IF(N175&gt;0,"Grace",
IF(N175&gt;-30,"Inactive","Freeze"))))</f>
        <v>Freeze</v>
      </c>
      <c r="P175" s="10"/>
      <c r="Q175" s="11">
        <f>COUNTA(T175:CA175)</f>
        <v>0</v>
      </c>
      <c r="R175" s="3">
        <f>K175-Q175</f>
        <v>0</v>
      </c>
      <c r="S175" s="8" t="str">
        <f>IF(Q175&gt;=K175,"Complete","Incomplete")</f>
        <v>Complete</v>
      </c>
      <c r="CI175" s="4" t="str">
        <f t="shared" si="4"/>
        <v/>
      </c>
      <c r="CJ175" s="13" t="str">
        <f>IF(OR(P175="",CI175=""),"",P175/CI175)</f>
        <v/>
      </c>
      <c r="CK175" s="5">
        <f t="shared" ca="1" si="5"/>
        <v>46173</v>
      </c>
      <c r="CL175" s="13" t="str">
        <f ca="1">IF(OR(I175="",J175="",CJ175="",CK175=""),"",
IF(AND(J175&gt;=EOMONTH(CK175,-1)+1,I175&lt;=EOMONTH(CK175,0)),
CJ175*
(MAX(0,MIN(J175,EOMONTH(CK175,0)) - MAX(I175,EOMONTH(CK175,-1)+1) + 1)
/
DAY(EOMONTH(CK175,0))
),
0))</f>
        <v/>
      </c>
    </row>
    <row r="176" spans="1:90" x14ac:dyDescent="0.2">
      <c r="A176" s="58">
        <v>194</v>
      </c>
      <c r="D176" s="3">
        <f ca="1">DATEDIF(C176,TODAY(),"Y") + DATEDIF(C176,TODAY(),"YM")/10</f>
        <v>126.4</v>
      </c>
      <c r="H176" s="7" t="str">
        <f ca="1">DATEDIF(G176,TODAY(),"M") &amp; " Months"</f>
        <v>1516 Months</v>
      </c>
      <c r="J176" s="4">
        <f>EDATE(I176,3)</f>
        <v>91</v>
      </c>
      <c r="M176" s="3">
        <f>I176+L176</f>
        <v>0</v>
      </c>
      <c r="N176" s="9">
        <f ca="1">L176-(TODAY()-I176)</f>
        <v>-46173</v>
      </c>
      <c r="O176" s="8" t="str">
        <f ca="1">IF(J176="","",
IF(TODAY()&lt;=J176,"Active",
IF(N176&gt;0,"Grace",
IF(N176&gt;-30,"Inactive","Freeze"))))</f>
        <v>Freeze</v>
      </c>
      <c r="P176" s="10"/>
      <c r="Q176" s="11">
        <f>COUNTA(T176:CA176)</f>
        <v>0</v>
      </c>
      <c r="R176" s="3">
        <f>K176-Q176</f>
        <v>0</v>
      </c>
      <c r="S176" s="8" t="str">
        <f>IF(Q176&gt;=K176,"Complete","Incomplete")</f>
        <v>Complete</v>
      </c>
      <c r="CI176" s="4" t="str">
        <f t="shared" si="4"/>
        <v/>
      </c>
      <c r="CJ176" s="13" t="str">
        <f>IF(OR(P176="",CI176=""),"",P176/CI176)</f>
        <v/>
      </c>
      <c r="CK176" s="5">
        <f t="shared" ca="1" si="5"/>
        <v>46173</v>
      </c>
      <c r="CL176" s="13" t="str">
        <f ca="1">IF(OR(I176="",J176="",CJ176="",CK176=""),"",
IF(AND(J176&gt;=EOMONTH(CK176,-1)+1,I176&lt;=EOMONTH(CK176,0)),
CJ176*
(MAX(0,MIN(J176,EOMONTH(CK176,0)) - MAX(I176,EOMONTH(CK176,-1)+1) + 1)
/
DAY(EOMONTH(CK176,0))
),
0))</f>
        <v/>
      </c>
    </row>
    <row r="177" spans="1:90" x14ac:dyDescent="0.2">
      <c r="A177" s="58">
        <v>195</v>
      </c>
      <c r="D177" s="3">
        <f ca="1">DATEDIF(C177,TODAY(),"Y") + DATEDIF(C177,TODAY(),"YM")/10</f>
        <v>126.4</v>
      </c>
      <c r="H177" s="7" t="str">
        <f ca="1">DATEDIF(G177,TODAY(),"M") &amp; " Months"</f>
        <v>1516 Months</v>
      </c>
      <c r="J177" s="4">
        <f>EDATE(I177,3)</f>
        <v>91</v>
      </c>
      <c r="M177" s="3">
        <f>I177+L177</f>
        <v>0</v>
      </c>
      <c r="N177" s="9">
        <f ca="1">L177-(TODAY()-I177)</f>
        <v>-46173</v>
      </c>
      <c r="O177" s="8" t="str">
        <f ca="1">IF(J177="","",
IF(TODAY()&lt;=J177,"Active",
IF(N177&gt;0,"Grace",
IF(N177&gt;-30,"Inactive","Freeze"))))</f>
        <v>Freeze</v>
      </c>
      <c r="P177" s="10"/>
      <c r="Q177" s="11">
        <f>COUNTA(T177:CA177)</f>
        <v>0</v>
      </c>
      <c r="R177" s="3">
        <f>K177-Q177</f>
        <v>0</v>
      </c>
      <c r="S177" s="8" t="str">
        <f>IF(Q177&gt;=K177,"Complete","Incomplete")</f>
        <v>Complete</v>
      </c>
      <c r="CI177" s="4" t="str">
        <f t="shared" si="4"/>
        <v/>
      </c>
      <c r="CJ177" s="13" t="str">
        <f>IF(OR(P177="",CI177=""),"",P177/CI177)</f>
        <v/>
      </c>
      <c r="CK177" s="5">
        <f t="shared" ca="1" si="5"/>
        <v>46173</v>
      </c>
      <c r="CL177" s="13" t="str">
        <f ca="1">IF(OR(I177="",J177="",CJ177="",CK177=""),"",
IF(AND(J177&gt;=EOMONTH(CK177,-1)+1,I177&lt;=EOMONTH(CK177,0)),
CJ177*
(MAX(0,MIN(J177,EOMONTH(CK177,0)) - MAX(I177,EOMONTH(CK177,-1)+1) + 1)
/
DAY(EOMONTH(CK177,0))
),
0))</f>
        <v/>
      </c>
    </row>
    <row r="178" spans="1:90" x14ac:dyDescent="0.2">
      <c r="A178" s="58">
        <v>196</v>
      </c>
      <c r="D178" s="3">
        <f ca="1">DATEDIF(C178,TODAY(),"Y") + DATEDIF(C178,TODAY(),"YM")/10</f>
        <v>126.4</v>
      </c>
      <c r="H178" s="7" t="str">
        <f ca="1">DATEDIF(G178,TODAY(),"M") &amp; " Months"</f>
        <v>1516 Months</v>
      </c>
      <c r="J178" s="4">
        <f>EDATE(I178,3)</f>
        <v>91</v>
      </c>
      <c r="M178" s="3">
        <f>I178+L178</f>
        <v>0</v>
      </c>
      <c r="N178" s="9">
        <f ca="1">L178-(TODAY()-I178)</f>
        <v>-46173</v>
      </c>
      <c r="O178" s="8" t="str">
        <f ca="1">IF(J178="","",
IF(TODAY()&lt;=J178,"Active",
IF(N178&gt;0,"Grace",
IF(N178&gt;-30,"Inactive","Freeze"))))</f>
        <v>Freeze</v>
      </c>
      <c r="P178" s="10"/>
      <c r="Q178" s="11">
        <f>COUNTA(T178:CA178)</f>
        <v>0</v>
      </c>
      <c r="R178" s="3">
        <f>K178-Q178</f>
        <v>0</v>
      </c>
      <c r="S178" s="8" t="str">
        <f>IF(Q178&gt;=K178,"Complete","Incomplete")</f>
        <v>Complete</v>
      </c>
      <c r="CI178" s="4" t="str">
        <f t="shared" si="4"/>
        <v/>
      </c>
      <c r="CJ178" s="13" t="str">
        <f>IF(OR(P178="",CI178=""),"",P178/CI178)</f>
        <v/>
      </c>
      <c r="CK178" s="5">
        <f t="shared" ca="1" si="5"/>
        <v>46173</v>
      </c>
      <c r="CL178" s="13" t="str">
        <f ca="1">IF(OR(I178="",J178="",CJ178="",CK178=""),"",
IF(AND(J178&gt;=EOMONTH(CK178,-1)+1,I178&lt;=EOMONTH(CK178,0)),
CJ178*
(MAX(0,MIN(J178,EOMONTH(CK178,0)) - MAX(I178,EOMONTH(CK178,-1)+1) + 1)
/
DAY(EOMONTH(CK178,0))
),
0))</f>
        <v/>
      </c>
    </row>
    <row r="179" spans="1:90" x14ac:dyDescent="0.2">
      <c r="A179" s="58">
        <v>197</v>
      </c>
      <c r="D179" s="3">
        <f ca="1">DATEDIF(C179,TODAY(),"Y") + DATEDIF(C179,TODAY(),"YM")/10</f>
        <v>126.4</v>
      </c>
      <c r="H179" s="7" t="str">
        <f ca="1">DATEDIF(G179,TODAY(),"M") &amp; " Months"</f>
        <v>1516 Months</v>
      </c>
      <c r="J179" s="4">
        <f>EDATE(I179,3)</f>
        <v>91</v>
      </c>
      <c r="M179" s="3">
        <f>I179+L179</f>
        <v>0</v>
      </c>
      <c r="N179" s="9">
        <f ca="1">L179-(TODAY()-I179)</f>
        <v>-46173</v>
      </c>
      <c r="O179" s="8" t="str">
        <f ca="1">IF(J179="","",
IF(TODAY()&lt;=J179,"Active",
IF(N179&gt;0,"Grace",
IF(N179&gt;-30,"Inactive","Freeze"))))</f>
        <v>Freeze</v>
      </c>
      <c r="P179" s="10"/>
      <c r="Q179" s="11">
        <f>COUNTA(T179:CA179)</f>
        <v>0</v>
      </c>
      <c r="R179" s="3">
        <f>K179-Q179</f>
        <v>0</v>
      </c>
      <c r="S179" s="8" t="str">
        <f>IF(Q179&gt;=K179,"Complete","Incomplete")</f>
        <v>Complete</v>
      </c>
      <c r="CI179" s="4" t="str">
        <f t="shared" si="4"/>
        <v/>
      </c>
      <c r="CJ179" s="13" t="str">
        <f>IF(OR(P179="",CI179=""),"",P179/CI179)</f>
        <v/>
      </c>
      <c r="CK179" s="5">
        <f t="shared" ca="1" si="5"/>
        <v>46173</v>
      </c>
      <c r="CL179" s="13" t="str">
        <f ca="1">IF(OR(I179="",J179="",CJ179="",CK179=""),"",
IF(AND(J179&gt;=EOMONTH(CK179,-1)+1,I179&lt;=EOMONTH(CK179,0)),
CJ179*
(MAX(0,MIN(J179,EOMONTH(CK179,0)) - MAX(I179,EOMONTH(CK179,-1)+1) + 1)
/
DAY(EOMONTH(CK179,0))
),
0))</f>
        <v/>
      </c>
    </row>
    <row r="180" spans="1:90" x14ac:dyDescent="0.2">
      <c r="A180" s="58">
        <v>198</v>
      </c>
      <c r="D180" s="3">
        <f ca="1">DATEDIF(C180,TODAY(),"Y") + DATEDIF(C180,TODAY(),"YM")/10</f>
        <v>126.4</v>
      </c>
      <c r="H180" s="7" t="str">
        <f ca="1">DATEDIF(G180,TODAY(),"M") &amp; " Months"</f>
        <v>1516 Months</v>
      </c>
      <c r="J180" s="4">
        <f>EDATE(I180,3)</f>
        <v>91</v>
      </c>
      <c r="M180" s="3">
        <f>I180+L180</f>
        <v>0</v>
      </c>
      <c r="N180" s="9">
        <f ca="1">L180-(TODAY()-I180)</f>
        <v>-46173</v>
      </c>
      <c r="O180" s="8" t="str">
        <f ca="1">IF(J180="","",
IF(TODAY()&lt;=J180,"Active",
IF(N180&gt;0,"Grace",
IF(N180&gt;-30,"Inactive","Freeze"))))</f>
        <v>Freeze</v>
      </c>
      <c r="P180" s="10"/>
      <c r="Q180" s="11">
        <f>COUNTA(T180:CA180)</f>
        <v>0</v>
      </c>
      <c r="R180" s="3">
        <f>K180-Q180</f>
        <v>0</v>
      </c>
      <c r="S180" s="8" t="str">
        <f>IF(Q180&gt;=K180,"Complete","Incomplete")</f>
        <v>Complete</v>
      </c>
      <c r="CI180" s="4" t="str">
        <f t="shared" si="4"/>
        <v/>
      </c>
      <c r="CJ180" s="13" t="str">
        <f>IF(OR(P180="",CI180=""),"",P180/CI180)</f>
        <v/>
      </c>
      <c r="CK180" s="5">
        <f t="shared" ca="1" si="5"/>
        <v>46173</v>
      </c>
      <c r="CL180" s="13" t="str">
        <f ca="1">IF(OR(I180="",J180="",CJ180="",CK180=""),"",
IF(AND(J180&gt;=EOMONTH(CK180,-1)+1,I180&lt;=EOMONTH(CK180,0)),
CJ180*
(MAX(0,MIN(J180,EOMONTH(CK180,0)) - MAX(I180,EOMONTH(CK180,-1)+1) + 1)
/
DAY(EOMONTH(CK180,0))
),
0))</f>
        <v/>
      </c>
    </row>
    <row r="181" spans="1:90" x14ac:dyDescent="0.2">
      <c r="A181" s="58">
        <v>199</v>
      </c>
      <c r="D181" s="3">
        <f ca="1">DATEDIF(C181,TODAY(),"Y") + DATEDIF(C181,TODAY(),"YM")/10</f>
        <v>126.4</v>
      </c>
      <c r="H181" s="7" t="str">
        <f ca="1">DATEDIF(G181,TODAY(),"M") &amp; " Months"</f>
        <v>1516 Months</v>
      </c>
      <c r="J181" s="4">
        <f>EDATE(I181,3)</f>
        <v>91</v>
      </c>
      <c r="M181" s="3">
        <f>I181+L181</f>
        <v>0</v>
      </c>
      <c r="N181" s="9">
        <f ca="1">L181-(TODAY()-I181)</f>
        <v>-46173</v>
      </c>
      <c r="O181" s="8" t="str">
        <f ca="1">IF(J181="","",
IF(TODAY()&lt;=J181,"Active",
IF(N181&gt;0,"Grace",
IF(N181&gt;-30,"Inactive","Freeze"))))</f>
        <v>Freeze</v>
      </c>
      <c r="P181" s="10"/>
      <c r="Q181" s="11">
        <f>COUNTA(T181:CA181)</f>
        <v>0</v>
      </c>
      <c r="R181" s="3">
        <f>K181-Q181</f>
        <v>0</v>
      </c>
      <c r="S181" s="8" t="str">
        <f>IF(Q181&gt;=K181,"Complete","Incomplete")</f>
        <v>Complete</v>
      </c>
      <c r="CI181" s="4" t="str">
        <f t="shared" si="4"/>
        <v/>
      </c>
      <c r="CJ181" s="13" t="str">
        <f>IF(OR(P181="",CI181=""),"",P181/CI181)</f>
        <v/>
      </c>
      <c r="CK181" s="5">
        <f t="shared" ca="1" si="5"/>
        <v>46173</v>
      </c>
      <c r="CL181" s="13" t="str">
        <f ca="1">IF(OR(I181="",J181="",CJ181="",CK181=""),"",
IF(AND(J181&gt;=EOMONTH(CK181,-1)+1,I181&lt;=EOMONTH(CK181,0)),
CJ181*
(MAX(0,MIN(J181,EOMONTH(CK181,0)) - MAX(I181,EOMONTH(CK181,-1)+1) + 1)
/
DAY(EOMONTH(CK181,0))
),
0))</f>
        <v/>
      </c>
    </row>
    <row r="182" spans="1:90" x14ac:dyDescent="0.2">
      <c r="A182" s="58">
        <v>200</v>
      </c>
      <c r="D182" s="3">
        <f ca="1">DATEDIF(C182,TODAY(),"Y") + DATEDIF(C182,TODAY(),"YM")/10</f>
        <v>126.4</v>
      </c>
      <c r="H182" s="7" t="str">
        <f ca="1">DATEDIF(G182,TODAY(),"M") &amp; " Months"</f>
        <v>1516 Months</v>
      </c>
      <c r="J182" s="4">
        <f>EDATE(I182,3)</f>
        <v>91</v>
      </c>
      <c r="M182" s="3">
        <f>I182+L182</f>
        <v>0</v>
      </c>
      <c r="N182" s="9">
        <f ca="1">L182-(TODAY()-I182)</f>
        <v>-46173</v>
      </c>
      <c r="O182" s="8" t="str">
        <f ca="1">IF(J182="","",
IF(TODAY()&lt;=J182,"Active",
IF(N182&gt;0,"Grace",
IF(N182&gt;-30,"Inactive","Freeze"))))</f>
        <v>Freeze</v>
      </c>
      <c r="P182" s="10"/>
      <c r="Q182" s="11">
        <f>COUNTA(T182:CA182)</f>
        <v>0</v>
      </c>
      <c r="R182" s="3">
        <f>K182-Q182</f>
        <v>0</v>
      </c>
      <c r="S182" s="8" t="str">
        <f>IF(Q182&gt;=K182,"Complete","Incomplete")</f>
        <v>Complete</v>
      </c>
      <c r="CI182" s="4" t="str">
        <f t="shared" si="4"/>
        <v/>
      </c>
      <c r="CJ182" s="13" t="str">
        <f>IF(OR(P182="",CI182=""),"",P182/CI182)</f>
        <v/>
      </c>
      <c r="CK182" s="5">
        <f t="shared" ca="1" si="5"/>
        <v>46173</v>
      </c>
      <c r="CL182" s="13" t="str">
        <f ca="1">IF(OR(I182="",J182="",CJ182="",CK182=""),"",
IF(AND(J182&gt;=EOMONTH(CK182,-1)+1,I182&lt;=EOMONTH(CK182,0)),
CJ182*
(MAX(0,MIN(J182,EOMONTH(CK182,0)) - MAX(I182,EOMONTH(CK182,-1)+1) + 1)
/
DAY(EOMONTH(CK182,0))
),
0))</f>
        <v/>
      </c>
    </row>
    <row r="183" spans="1:90" x14ac:dyDescent="0.2">
      <c r="A183" s="58">
        <v>201</v>
      </c>
      <c r="D183" s="3">
        <f ca="1">DATEDIF(C183,TODAY(),"Y") + DATEDIF(C183,TODAY(),"YM")/10</f>
        <v>126.4</v>
      </c>
      <c r="H183" s="7" t="str">
        <f ca="1">DATEDIF(G183,TODAY(),"M") &amp; " Months"</f>
        <v>1516 Months</v>
      </c>
      <c r="J183" s="4">
        <f>EDATE(I183,3)</f>
        <v>91</v>
      </c>
      <c r="M183" s="3">
        <f>I183+L183</f>
        <v>0</v>
      </c>
      <c r="N183" s="9">
        <f ca="1">L183-(TODAY()-I183)</f>
        <v>-46173</v>
      </c>
      <c r="O183" s="8" t="str">
        <f ca="1">IF(J183="","",
IF(TODAY()&lt;=J183,"Active",
IF(N183&gt;0,"Grace",
IF(N183&gt;-30,"Inactive","Freeze"))))</f>
        <v>Freeze</v>
      </c>
      <c r="P183" s="10"/>
      <c r="Q183" s="11">
        <f>COUNTA(T183:CA183)</f>
        <v>0</v>
      </c>
      <c r="R183" s="3">
        <f>K183-Q183</f>
        <v>0</v>
      </c>
      <c r="S183" s="8" t="str">
        <f>IF(Q183&gt;=K183,"Complete","Incomplete")</f>
        <v>Complete</v>
      </c>
      <c r="CI183" s="4" t="str">
        <f t="shared" si="4"/>
        <v/>
      </c>
      <c r="CJ183" s="13" t="str">
        <f>IF(OR(P183="",CI183=""),"",P183/CI183)</f>
        <v/>
      </c>
      <c r="CK183" s="5">
        <f t="shared" ca="1" si="5"/>
        <v>46173</v>
      </c>
      <c r="CL183" s="13" t="str">
        <f ca="1">IF(OR(I183="",J183="",CJ183="",CK183=""),"",
IF(AND(J183&gt;=EOMONTH(CK183,-1)+1,I183&lt;=EOMONTH(CK183,0)),
CJ183*
(MAX(0,MIN(J183,EOMONTH(CK183,0)) - MAX(I183,EOMONTH(CK183,-1)+1) + 1)
/
DAY(EOMONTH(CK183,0))
),
0))</f>
        <v/>
      </c>
    </row>
    <row r="184" spans="1:90" x14ac:dyDescent="0.2">
      <c r="A184" s="58">
        <v>202</v>
      </c>
      <c r="D184" s="3">
        <f ca="1">DATEDIF(C184,TODAY(),"Y") + DATEDIF(C184,TODAY(),"YM")/10</f>
        <v>126.4</v>
      </c>
      <c r="H184" s="7" t="str">
        <f ca="1">DATEDIF(G184,TODAY(),"M") &amp; " Months"</f>
        <v>1516 Months</v>
      </c>
      <c r="J184" s="4">
        <f>EDATE(I184,3)</f>
        <v>91</v>
      </c>
      <c r="M184" s="3">
        <f>I184+L184</f>
        <v>0</v>
      </c>
      <c r="N184" s="9">
        <f ca="1">L184-(TODAY()-I184)</f>
        <v>-46173</v>
      </c>
      <c r="O184" s="8" t="str">
        <f ca="1">IF(J184="","",
IF(TODAY()&lt;=J184,"Active",
IF(N184&gt;0,"Grace",
IF(N184&gt;-30,"Inactive","Freeze"))))</f>
        <v>Freeze</v>
      </c>
      <c r="P184" s="10"/>
      <c r="Q184" s="11">
        <f>COUNTA(T184:CA184)</f>
        <v>0</v>
      </c>
      <c r="R184" s="3">
        <f>K184-Q184</f>
        <v>0</v>
      </c>
      <c r="S184" s="8" t="str">
        <f>IF(Q184&gt;=K184,"Complete","Incomplete")</f>
        <v>Complete</v>
      </c>
      <c r="CI184" s="4" t="str">
        <f t="shared" si="4"/>
        <v/>
      </c>
      <c r="CJ184" s="13" t="str">
        <f>IF(OR(P184="",CI184=""),"",P184/CI184)</f>
        <v/>
      </c>
      <c r="CK184" s="5">
        <f t="shared" ca="1" si="5"/>
        <v>46173</v>
      </c>
      <c r="CL184" s="13" t="str">
        <f ca="1">IF(OR(I184="",J184="",CJ184="",CK184=""),"",
IF(AND(J184&gt;=EOMONTH(CK184,-1)+1,I184&lt;=EOMONTH(CK184,0)),
CJ184*
(MAX(0,MIN(J184,EOMONTH(CK184,0)) - MAX(I184,EOMONTH(CK184,-1)+1) + 1)
/
DAY(EOMONTH(CK184,0))
),
0))</f>
        <v/>
      </c>
    </row>
    <row r="185" spans="1:90" x14ac:dyDescent="0.2">
      <c r="A185" s="58">
        <v>203</v>
      </c>
      <c r="D185" s="3">
        <f ca="1">DATEDIF(C185,TODAY(),"Y") + DATEDIF(C185,TODAY(),"YM")/10</f>
        <v>126.4</v>
      </c>
      <c r="H185" s="7" t="str">
        <f ca="1">DATEDIF(G185,TODAY(),"M") &amp; " Months"</f>
        <v>1516 Months</v>
      </c>
      <c r="J185" s="4">
        <f>EDATE(I185,3)</f>
        <v>91</v>
      </c>
      <c r="M185" s="3">
        <f>I185+L185</f>
        <v>0</v>
      </c>
      <c r="N185" s="9">
        <f ca="1">L185-(TODAY()-I185)</f>
        <v>-46173</v>
      </c>
      <c r="O185" s="8" t="str">
        <f ca="1">IF(J185="","",
IF(TODAY()&lt;=J185,"Active",
IF(N185&gt;0,"Grace",
IF(N185&gt;-30,"Inactive","Freeze"))))</f>
        <v>Freeze</v>
      </c>
      <c r="P185" s="10"/>
      <c r="Q185" s="11">
        <f>COUNTA(T185:CA185)</f>
        <v>0</v>
      </c>
      <c r="R185" s="3">
        <f>K185-Q185</f>
        <v>0</v>
      </c>
      <c r="S185" s="8" t="str">
        <f>IF(Q185&gt;=K185,"Complete","Incomplete")</f>
        <v>Complete</v>
      </c>
      <c r="CI185" s="4" t="str">
        <f t="shared" si="4"/>
        <v/>
      </c>
      <c r="CJ185" s="13" t="str">
        <f>IF(OR(P185="",CI185=""),"",P185/CI185)</f>
        <v/>
      </c>
      <c r="CK185" s="5">
        <f t="shared" ca="1" si="5"/>
        <v>46173</v>
      </c>
      <c r="CL185" s="13" t="str">
        <f ca="1">IF(OR(I185="",J185="",CJ185="",CK185=""),"",
IF(AND(J185&gt;=EOMONTH(CK185,-1)+1,I185&lt;=EOMONTH(CK185,0)),
CJ185*
(MAX(0,MIN(J185,EOMONTH(CK185,0)) - MAX(I185,EOMONTH(CK185,-1)+1) + 1)
/
DAY(EOMONTH(CK185,0))
),
0))</f>
        <v/>
      </c>
    </row>
    <row r="186" spans="1:90" x14ac:dyDescent="0.2">
      <c r="A186" s="58">
        <v>204</v>
      </c>
      <c r="D186" s="3">
        <f ca="1">DATEDIF(C186,TODAY(),"Y") + DATEDIF(C186,TODAY(),"YM")/10</f>
        <v>126.4</v>
      </c>
      <c r="H186" s="7" t="str">
        <f ca="1">DATEDIF(G186,TODAY(),"M") &amp; " Months"</f>
        <v>1516 Months</v>
      </c>
      <c r="J186" s="4">
        <f>EDATE(I186,3)</f>
        <v>91</v>
      </c>
      <c r="M186" s="3">
        <f>I186+L186</f>
        <v>0</v>
      </c>
      <c r="N186" s="9">
        <f ca="1">L186-(TODAY()-I186)</f>
        <v>-46173</v>
      </c>
      <c r="O186" s="8" t="str">
        <f ca="1">IF(J186="","",
IF(TODAY()&lt;=J186,"Active",
IF(N186&gt;0,"Grace",
IF(N186&gt;-30,"Inactive","Freeze"))))</f>
        <v>Freeze</v>
      </c>
      <c r="P186" s="10"/>
      <c r="Q186" s="11">
        <f>COUNTA(T186:CA186)</f>
        <v>0</v>
      </c>
      <c r="R186" s="3">
        <f>K186-Q186</f>
        <v>0</v>
      </c>
      <c r="S186" s="8" t="str">
        <f>IF(Q186&gt;=K186,"Complete","Incomplete")</f>
        <v>Complete</v>
      </c>
      <c r="CI186" s="4" t="str">
        <f t="shared" si="4"/>
        <v/>
      </c>
      <c r="CJ186" s="13" t="str">
        <f>IF(OR(P186="",CI186=""),"",P186/CI186)</f>
        <v/>
      </c>
      <c r="CK186" s="5">
        <f t="shared" ca="1" si="5"/>
        <v>46173</v>
      </c>
      <c r="CL186" s="13" t="str">
        <f ca="1">IF(OR(I186="",J186="",CJ186="",CK186=""),"",
IF(AND(J186&gt;=EOMONTH(CK186,-1)+1,I186&lt;=EOMONTH(CK186,0)),
CJ186*
(MAX(0,MIN(J186,EOMONTH(CK186,0)) - MAX(I186,EOMONTH(CK186,-1)+1) + 1)
/
DAY(EOMONTH(CK186,0))
),
0))</f>
        <v/>
      </c>
    </row>
    <row r="187" spans="1:90" x14ac:dyDescent="0.2">
      <c r="A187" s="58">
        <v>205</v>
      </c>
      <c r="D187" s="3">
        <f ca="1">DATEDIF(C187,TODAY(),"Y") + DATEDIF(C187,TODAY(),"YM")/10</f>
        <v>126.4</v>
      </c>
      <c r="H187" s="7" t="str">
        <f ca="1">DATEDIF(G187,TODAY(),"M") &amp; " Months"</f>
        <v>1516 Months</v>
      </c>
      <c r="J187" s="4">
        <f>EDATE(I187,3)</f>
        <v>91</v>
      </c>
      <c r="M187" s="3">
        <f>I187+L187</f>
        <v>0</v>
      </c>
      <c r="N187" s="9">
        <f ca="1">L187-(TODAY()-I187)</f>
        <v>-46173</v>
      </c>
      <c r="O187" s="8" t="str">
        <f ca="1">IF(J187="","",
IF(TODAY()&lt;=J187,"Active",
IF(N187&gt;0,"Grace",
IF(N187&gt;-30,"Inactive","Freeze"))))</f>
        <v>Freeze</v>
      </c>
      <c r="P187" s="10"/>
      <c r="Q187" s="11">
        <f>COUNTA(T187:CA187)</f>
        <v>0</v>
      </c>
      <c r="R187" s="3">
        <f>K187-Q187</f>
        <v>0</v>
      </c>
      <c r="S187" s="8" t="str">
        <f>IF(Q187&gt;=K187,"Complete","Incomplete")</f>
        <v>Complete</v>
      </c>
      <c r="CI187" s="4" t="str">
        <f t="shared" si="4"/>
        <v/>
      </c>
      <c r="CJ187" s="13" t="str">
        <f>IF(OR(P187="",CI187=""),"",P187/CI187)</f>
        <v/>
      </c>
      <c r="CK187" s="5">
        <f t="shared" ca="1" si="5"/>
        <v>46173</v>
      </c>
      <c r="CL187" s="13" t="str">
        <f ca="1">IF(OR(I187="",J187="",CJ187="",CK187=""),"",
IF(AND(J187&gt;=EOMONTH(CK187,-1)+1,I187&lt;=EOMONTH(CK187,0)),
CJ187*
(MAX(0,MIN(J187,EOMONTH(CK187,0)) - MAX(I187,EOMONTH(CK187,-1)+1) + 1)
/
DAY(EOMONTH(CK187,0))
),
0))</f>
        <v/>
      </c>
    </row>
    <row r="188" spans="1:90" x14ac:dyDescent="0.2">
      <c r="A188" s="58">
        <v>206</v>
      </c>
      <c r="D188" s="3">
        <f ca="1">DATEDIF(C188,TODAY(),"Y") + DATEDIF(C188,TODAY(),"YM")/10</f>
        <v>126.4</v>
      </c>
      <c r="H188" s="7" t="str">
        <f ca="1">DATEDIF(G188,TODAY(),"M") &amp; " Months"</f>
        <v>1516 Months</v>
      </c>
      <c r="J188" s="4">
        <f>EDATE(I188,3)</f>
        <v>91</v>
      </c>
      <c r="M188" s="3">
        <f>I188+L188</f>
        <v>0</v>
      </c>
      <c r="N188" s="9">
        <f ca="1">L188-(TODAY()-I188)</f>
        <v>-46173</v>
      </c>
      <c r="O188" s="8" t="str">
        <f ca="1">IF(J188="","",
IF(TODAY()&lt;=J188,"Active",
IF(N188&gt;0,"Grace",
IF(N188&gt;-30,"Inactive","Freeze"))))</f>
        <v>Freeze</v>
      </c>
      <c r="P188" s="10"/>
      <c r="Q188" s="11">
        <f>COUNTA(T188:CA188)</f>
        <v>0</v>
      </c>
      <c r="R188" s="3">
        <f>K188-Q188</f>
        <v>0</v>
      </c>
      <c r="S188" s="8" t="str">
        <f>IF(Q188&gt;=K188,"Complete","Incomplete")</f>
        <v>Complete</v>
      </c>
      <c r="CI188" s="4" t="str">
        <f t="shared" si="4"/>
        <v/>
      </c>
      <c r="CJ188" s="13" t="str">
        <f>IF(OR(P188="",CI188=""),"",P188/CI188)</f>
        <v/>
      </c>
      <c r="CK188" s="5">
        <f t="shared" ca="1" si="5"/>
        <v>46173</v>
      </c>
      <c r="CL188" s="13" t="str">
        <f ca="1">IF(OR(I188="",J188="",CJ188="",CK188=""),"",
IF(AND(J188&gt;=EOMONTH(CK188,-1)+1,I188&lt;=EOMONTH(CK188,0)),
CJ188*
(MAX(0,MIN(J188,EOMONTH(CK188,0)) - MAX(I188,EOMONTH(CK188,-1)+1) + 1)
/
DAY(EOMONTH(CK188,0))
),
0))</f>
        <v/>
      </c>
    </row>
    <row r="189" spans="1:90" x14ac:dyDescent="0.2">
      <c r="A189" s="58">
        <v>207</v>
      </c>
      <c r="D189" s="3">
        <f ca="1">DATEDIF(C189,TODAY(),"Y") + DATEDIF(C189,TODAY(),"YM")/10</f>
        <v>126.4</v>
      </c>
      <c r="H189" s="7" t="str">
        <f ca="1">DATEDIF(G189,TODAY(),"M") &amp; " Months"</f>
        <v>1516 Months</v>
      </c>
      <c r="J189" s="4">
        <f>EDATE(I189,3)</f>
        <v>91</v>
      </c>
      <c r="M189" s="3">
        <f>I189+L189</f>
        <v>0</v>
      </c>
      <c r="N189" s="9">
        <f ca="1">L189-(TODAY()-I189)</f>
        <v>-46173</v>
      </c>
      <c r="O189" s="8" t="str">
        <f ca="1">IF(J189="","",
IF(TODAY()&lt;=J189,"Active",
IF(N189&gt;0,"Grace",
IF(N189&gt;-30,"Inactive","Freeze"))))</f>
        <v>Freeze</v>
      </c>
      <c r="P189" s="10"/>
      <c r="Q189" s="11">
        <f>COUNTA(T189:CA189)</f>
        <v>0</v>
      </c>
      <c r="R189" s="3">
        <f>K189-Q189</f>
        <v>0</v>
      </c>
      <c r="S189" s="8" t="str">
        <f>IF(Q189&gt;=K189,"Complete","Incomplete")</f>
        <v>Complete</v>
      </c>
      <c r="CI189" s="4" t="str">
        <f t="shared" si="4"/>
        <v/>
      </c>
      <c r="CJ189" s="13" t="str">
        <f>IF(OR(P189="",CI189=""),"",P189/CI189)</f>
        <v/>
      </c>
      <c r="CK189" s="5">
        <f t="shared" ca="1" si="5"/>
        <v>46173</v>
      </c>
      <c r="CL189" s="13" t="str">
        <f ca="1">IF(OR(I189="",J189="",CJ189="",CK189=""),"",
IF(AND(J189&gt;=EOMONTH(CK189,-1)+1,I189&lt;=EOMONTH(CK189,0)),
CJ189*
(MAX(0,MIN(J189,EOMONTH(CK189,0)) - MAX(I189,EOMONTH(CK189,-1)+1) + 1)
/
DAY(EOMONTH(CK189,0))
),
0))</f>
        <v/>
      </c>
    </row>
    <row r="190" spans="1:90" x14ac:dyDescent="0.2">
      <c r="A190" s="58">
        <v>208</v>
      </c>
      <c r="D190" s="3">
        <f ca="1">DATEDIF(C190,TODAY(),"Y") + DATEDIF(C190,TODAY(),"YM")/10</f>
        <v>126.4</v>
      </c>
      <c r="H190" s="7" t="str">
        <f ca="1">DATEDIF(G190,TODAY(),"M") &amp; " Months"</f>
        <v>1516 Months</v>
      </c>
      <c r="J190" s="4">
        <f>EDATE(I190,3)</f>
        <v>91</v>
      </c>
      <c r="M190" s="3">
        <f>I190+L190</f>
        <v>0</v>
      </c>
      <c r="N190" s="9">
        <f ca="1">L190-(TODAY()-I190)</f>
        <v>-46173</v>
      </c>
      <c r="O190" s="8" t="str">
        <f ca="1">IF(J190="","",
IF(TODAY()&lt;=J190,"Active",
IF(N190&gt;0,"Grace",
IF(N190&gt;-30,"Inactive","Freeze"))))</f>
        <v>Freeze</v>
      </c>
      <c r="P190" s="10"/>
      <c r="Q190" s="11">
        <f>COUNTA(T190:CA190)</f>
        <v>0</v>
      </c>
      <c r="R190" s="3">
        <f>K190-Q190</f>
        <v>0</v>
      </c>
      <c r="S190" s="8" t="str">
        <f>IF(Q190&gt;=K190,"Complete","Incomplete")</f>
        <v>Complete</v>
      </c>
      <c r="CI190" s="4" t="str">
        <f t="shared" si="4"/>
        <v/>
      </c>
      <c r="CJ190" s="13" t="str">
        <f>IF(OR(P190="",CI190=""),"",P190/CI190)</f>
        <v/>
      </c>
      <c r="CK190" s="5">
        <f t="shared" ca="1" si="5"/>
        <v>46173</v>
      </c>
      <c r="CL190" s="13" t="str">
        <f ca="1">IF(OR(I190="",J190="",CJ190="",CK190=""),"",
IF(AND(J190&gt;=EOMONTH(CK190,-1)+1,I190&lt;=EOMONTH(CK190,0)),
CJ190*
(MAX(0,MIN(J190,EOMONTH(CK190,0)) - MAX(I190,EOMONTH(CK190,-1)+1) + 1)
/
DAY(EOMONTH(CK190,0))
),
0))</f>
        <v/>
      </c>
    </row>
    <row r="191" spans="1:90" x14ac:dyDescent="0.2">
      <c r="A191" s="58">
        <v>209</v>
      </c>
      <c r="D191" s="3">
        <f ca="1">DATEDIF(C191,TODAY(),"Y") + DATEDIF(C191,TODAY(),"YM")/10</f>
        <v>126.4</v>
      </c>
      <c r="H191" s="7" t="str">
        <f ca="1">DATEDIF(G191,TODAY(),"M") &amp; " Months"</f>
        <v>1516 Months</v>
      </c>
      <c r="J191" s="4">
        <f>EDATE(I191,3)</f>
        <v>91</v>
      </c>
      <c r="M191" s="3">
        <f>I191+L191</f>
        <v>0</v>
      </c>
      <c r="N191" s="9">
        <f ca="1">L191-(TODAY()-I191)</f>
        <v>-46173</v>
      </c>
      <c r="O191" s="8" t="str">
        <f ca="1">IF(J191="","",
IF(TODAY()&lt;=J191,"Active",
IF(N191&gt;0,"Grace",
IF(N191&gt;-30,"Inactive","Freeze"))))</f>
        <v>Freeze</v>
      </c>
      <c r="P191" s="10"/>
      <c r="Q191" s="11">
        <f>COUNTA(T191:CA191)</f>
        <v>0</v>
      </c>
      <c r="R191" s="3">
        <f>K191-Q191</f>
        <v>0</v>
      </c>
      <c r="S191" s="8" t="str">
        <f>IF(Q191&gt;=K191,"Complete","Incomplete")</f>
        <v>Complete</v>
      </c>
      <c r="CI191" s="4" t="str">
        <f t="shared" si="4"/>
        <v/>
      </c>
      <c r="CJ191" s="13" t="str">
        <f>IF(OR(P191="",CI191=""),"",P191/CI191)</f>
        <v/>
      </c>
      <c r="CK191" s="5">
        <f t="shared" ca="1" si="5"/>
        <v>46173</v>
      </c>
      <c r="CL191" s="13" t="str">
        <f ca="1">IF(OR(I191="",J191="",CJ191="",CK191=""),"",
IF(AND(J191&gt;=EOMONTH(CK191,-1)+1,I191&lt;=EOMONTH(CK191,0)),
CJ191*
(MAX(0,MIN(J191,EOMONTH(CK191,0)) - MAX(I191,EOMONTH(CK191,-1)+1) + 1)
/
DAY(EOMONTH(CK191,0))
),
0))</f>
        <v/>
      </c>
    </row>
    <row r="192" spans="1:90" x14ac:dyDescent="0.2">
      <c r="A192" s="58">
        <v>210</v>
      </c>
      <c r="D192" s="3">
        <f ca="1">DATEDIF(C192,TODAY(),"Y") + DATEDIF(C192,TODAY(),"YM")/10</f>
        <v>126.4</v>
      </c>
      <c r="H192" s="7" t="str">
        <f ca="1">DATEDIF(G192,TODAY(),"M") &amp; " Months"</f>
        <v>1516 Months</v>
      </c>
      <c r="J192" s="4">
        <f>EDATE(I192,3)</f>
        <v>91</v>
      </c>
      <c r="M192" s="3">
        <f>I192+L192</f>
        <v>0</v>
      </c>
      <c r="N192" s="9">
        <f ca="1">L192-(TODAY()-I192)</f>
        <v>-46173</v>
      </c>
      <c r="O192" s="8" t="str">
        <f ca="1">IF(J192="","",
IF(TODAY()&lt;=J192,"Active",
IF(N192&gt;0,"Grace",
IF(N192&gt;-30,"Inactive","Freeze"))))</f>
        <v>Freeze</v>
      </c>
      <c r="P192" s="10"/>
      <c r="Q192" s="11">
        <f>COUNTA(T192:CA192)</f>
        <v>0</v>
      </c>
      <c r="R192" s="3">
        <f>K192-Q192</f>
        <v>0</v>
      </c>
      <c r="S192" s="8" t="str">
        <f>IF(Q192&gt;=K192,"Complete","Incomplete")</f>
        <v>Complete</v>
      </c>
      <c r="CI192" s="4" t="str">
        <f t="shared" si="4"/>
        <v/>
      </c>
      <c r="CJ192" s="13" t="str">
        <f>IF(OR(P192="",CI192=""),"",P192/CI192)</f>
        <v/>
      </c>
      <c r="CK192" s="5">
        <f t="shared" ca="1" si="5"/>
        <v>46173</v>
      </c>
      <c r="CL192" s="13" t="str">
        <f ca="1">IF(OR(I192="",J192="",CJ192="",CK192=""),"",
IF(AND(J192&gt;=EOMONTH(CK192,-1)+1,I192&lt;=EOMONTH(CK192,0)),
CJ192*
(MAX(0,MIN(J192,EOMONTH(CK192,0)) - MAX(I192,EOMONTH(CK192,-1)+1) + 1)
/
DAY(EOMONTH(CK192,0))
),
0))</f>
        <v/>
      </c>
    </row>
    <row r="193" spans="1:90" x14ac:dyDescent="0.2">
      <c r="A193" s="58">
        <v>211</v>
      </c>
      <c r="D193" s="3">
        <f ca="1">DATEDIF(C193,TODAY(),"Y") + DATEDIF(C193,TODAY(),"YM")/10</f>
        <v>126.4</v>
      </c>
      <c r="H193" s="7" t="str">
        <f ca="1">DATEDIF(G193,TODAY(),"M") &amp; " Months"</f>
        <v>1516 Months</v>
      </c>
      <c r="J193" s="4">
        <f>EDATE(I193,3)</f>
        <v>91</v>
      </c>
      <c r="M193" s="3">
        <f>I193+L193</f>
        <v>0</v>
      </c>
      <c r="N193" s="9">
        <f ca="1">L193-(TODAY()-I193)</f>
        <v>-46173</v>
      </c>
      <c r="O193" s="8" t="str">
        <f ca="1">IF(J193="","",
IF(TODAY()&lt;=J193,"Active",
IF(N193&gt;0,"Grace",
IF(N193&gt;-30,"Inactive","Freeze"))))</f>
        <v>Freeze</v>
      </c>
      <c r="P193" s="10"/>
      <c r="Q193" s="11">
        <f>COUNTA(T193:CA193)</f>
        <v>0</v>
      </c>
      <c r="R193" s="3">
        <f>K193-Q193</f>
        <v>0</v>
      </c>
      <c r="S193" s="8" t="str">
        <f>IF(Q193&gt;=K193,"Complete","Incomplete")</f>
        <v>Complete</v>
      </c>
      <c r="CI193" s="4" t="str">
        <f t="shared" si="4"/>
        <v/>
      </c>
      <c r="CJ193" s="13" t="str">
        <f>IF(OR(P193="",CI193=""),"",P193/CI193)</f>
        <v/>
      </c>
      <c r="CK193" s="5">
        <f t="shared" ca="1" si="5"/>
        <v>46173</v>
      </c>
      <c r="CL193" s="13" t="str">
        <f ca="1">IF(OR(I193="",J193="",CJ193="",CK193=""),"",
IF(AND(J193&gt;=EOMONTH(CK193,-1)+1,I193&lt;=EOMONTH(CK193,0)),
CJ193*
(MAX(0,MIN(J193,EOMONTH(CK193,0)) - MAX(I193,EOMONTH(CK193,-1)+1) + 1)
/
DAY(EOMONTH(CK193,0))
),
0))</f>
        <v/>
      </c>
    </row>
    <row r="194" spans="1:90" x14ac:dyDescent="0.2">
      <c r="A194" s="58">
        <v>212</v>
      </c>
      <c r="D194" s="3">
        <f ca="1">DATEDIF(C194,TODAY(),"Y") + DATEDIF(C194,TODAY(),"YM")/10</f>
        <v>126.4</v>
      </c>
      <c r="H194" s="7" t="str">
        <f ca="1">DATEDIF(G194,TODAY(),"M") &amp; " Months"</f>
        <v>1516 Months</v>
      </c>
      <c r="J194" s="4">
        <f>EDATE(I194,3)</f>
        <v>91</v>
      </c>
      <c r="M194" s="3">
        <f>I194+L194</f>
        <v>0</v>
      </c>
      <c r="N194" s="9">
        <f ca="1">L194-(TODAY()-I194)</f>
        <v>-46173</v>
      </c>
      <c r="O194" s="8" t="str">
        <f ca="1">IF(J194="","",
IF(TODAY()&lt;=J194,"Active",
IF(N194&gt;0,"Grace",
IF(N194&gt;-30,"Inactive","Freeze"))))</f>
        <v>Freeze</v>
      </c>
      <c r="P194" s="10"/>
      <c r="Q194" s="11">
        <f>COUNTA(T194:CA194)</f>
        <v>0</v>
      </c>
      <c r="R194" s="3">
        <f>K194-Q194</f>
        <v>0</v>
      </c>
      <c r="S194" s="8" t="str">
        <f>IF(Q194&gt;=K194,"Complete","Incomplete")</f>
        <v>Complete</v>
      </c>
      <c r="CI194" s="4" t="str">
        <f t="shared" si="4"/>
        <v/>
      </c>
      <c r="CJ194" s="13" t="str">
        <f>IF(OR(P194="",CI194=""),"",P194/CI194)</f>
        <v/>
      </c>
      <c r="CK194" s="5">
        <f t="shared" ca="1" si="5"/>
        <v>46173</v>
      </c>
      <c r="CL194" s="13" t="str">
        <f ca="1">IF(OR(I194="",J194="",CJ194="",CK194=""),"",
IF(AND(J194&gt;=EOMONTH(CK194,-1)+1,I194&lt;=EOMONTH(CK194,0)),
CJ194*
(MAX(0,MIN(J194,EOMONTH(CK194,0)) - MAX(I194,EOMONTH(CK194,-1)+1) + 1)
/
DAY(EOMONTH(CK194,0))
),
0))</f>
        <v/>
      </c>
    </row>
    <row r="195" spans="1:90" x14ac:dyDescent="0.2">
      <c r="A195" s="58">
        <v>213</v>
      </c>
      <c r="D195" s="3">
        <f ca="1">DATEDIF(C195,TODAY(),"Y") + DATEDIF(C195,TODAY(),"YM")/10</f>
        <v>126.4</v>
      </c>
      <c r="H195" s="7" t="str">
        <f ca="1">DATEDIF(G195,TODAY(),"M") &amp; " Months"</f>
        <v>1516 Months</v>
      </c>
      <c r="J195" s="4">
        <f>EDATE(I195,3)</f>
        <v>91</v>
      </c>
      <c r="M195" s="3">
        <f>I195+L195</f>
        <v>0</v>
      </c>
      <c r="N195" s="9">
        <f ca="1">L195-(TODAY()-I195)</f>
        <v>-46173</v>
      </c>
      <c r="O195" s="8" t="str">
        <f ca="1">IF(J195="","",
IF(TODAY()&lt;=J195,"Active",
IF(N195&gt;0,"Grace",
IF(N195&gt;-30,"Inactive","Freeze"))))</f>
        <v>Freeze</v>
      </c>
      <c r="P195" s="10"/>
      <c r="Q195" s="11">
        <f>COUNTA(T195:CA195)</f>
        <v>0</v>
      </c>
      <c r="R195" s="3">
        <f>K195-Q195</f>
        <v>0</v>
      </c>
      <c r="S195" s="8" t="str">
        <f>IF(Q195&gt;=K195,"Complete","Incomplete")</f>
        <v>Complete</v>
      </c>
      <c r="CI195" s="4" t="str">
        <f t="shared" si="4"/>
        <v/>
      </c>
      <c r="CJ195" s="13" t="str">
        <f>IF(OR(P195="",CI195=""),"",P195/CI195)</f>
        <v/>
      </c>
      <c r="CK195" s="5">
        <f t="shared" ca="1" si="5"/>
        <v>46173</v>
      </c>
      <c r="CL195" s="13" t="str">
        <f ca="1">IF(OR(I195="",J195="",CJ195="",CK195=""),"",
IF(AND(J195&gt;=EOMONTH(CK195,-1)+1,I195&lt;=EOMONTH(CK195,0)),
CJ195*
(MAX(0,MIN(J195,EOMONTH(CK195,0)) - MAX(I195,EOMONTH(CK195,-1)+1) + 1)
/
DAY(EOMONTH(CK195,0))
),
0))</f>
        <v/>
      </c>
    </row>
    <row r="196" spans="1:90" x14ac:dyDescent="0.2">
      <c r="A196" s="58">
        <v>214</v>
      </c>
      <c r="D196" s="3">
        <f ca="1">DATEDIF(C196,TODAY(),"Y") + DATEDIF(C196,TODAY(),"YM")/10</f>
        <v>126.4</v>
      </c>
      <c r="H196" s="7" t="str">
        <f ca="1">DATEDIF(G196,TODAY(),"M") &amp; " Months"</f>
        <v>1516 Months</v>
      </c>
      <c r="J196" s="4">
        <f>EDATE(I196,3)</f>
        <v>91</v>
      </c>
      <c r="M196" s="3">
        <f>I196+L196</f>
        <v>0</v>
      </c>
      <c r="N196" s="9">
        <f ca="1">L196-(TODAY()-I196)</f>
        <v>-46173</v>
      </c>
      <c r="O196" s="8" t="str">
        <f ca="1">IF(J196="","",
IF(TODAY()&lt;=J196,"Active",
IF(N196&gt;0,"Grace",
IF(N196&gt;-30,"Inactive","Freeze"))))</f>
        <v>Freeze</v>
      </c>
      <c r="P196" s="10"/>
      <c r="Q196" s="11">
        <f>COUNTA(T196:CA196)</f>
        <v>0</v>
      </c>
      <c r="R196" s="3">
        <f>K196-Q196</f>
        <v>0</v>
      </c>
      <c r="S196" s="8" t="str">
        <f>IF(Q196&gt;=K196,"Complete","Incomplete")</f>
        <v>Complete</v>
      </c>
      <c r="CI196" s="4" t="str">
        <f t="shared" ref="CI196:CI201" si="6">IF(OR(I196="",J196=""),"",
IF(J196-I196&lt;=31,"1",
IF(J196-I196&lt;=93,"3","")))</f>
        <v/>
      </c>
      <c r="CJ196" s="13" t="str">
        <f>IF(OR(P196="",CI196=""),"",P196/CI196)</f>
        <v/>
      </c>
      <c r="CK196" s="5">
        <f t="shared" ref="CK196:CK201" ca="1" si="7">CK195</f>
        <v>46173</v>
      </c>
      <c r="CL196" s="13" t="str">
        <f ca="1">IF(OR(I196="",J196="",CJ196="",CK196=""),"",
IF(AND(J196&gt;=EOMONTH(CK196,-1)+1,I196&lt;=EOMONTH(CK196,0)),
CJ196*
(MAX(0,MIN(J196,EOMONTH(CK196,0)) - MAX(I196,EOMONTH(CK196,-1)+1) + 1)
/
DAY(EOMONTH(CK196,0))
),
0))</f>
        <v/>
      </c>
    </row>
    <row r="197" spans="1:90" x14ac:dyDescent="0.2">
      <c r="A197" s="58">
        <v>215</v>
      </c>
      <c r="D197" s="3">
        <f ca="1">DATEDIF(C197,TODAY(),"Y") + DATEDIF(C197,TODAY(),"YM")/10</f>
        <v>126.4</v>
      </c>
      <c r="H197" s="7" t="str">
        <f ca="1">DATEDIF(G197,TODAY(),"M") &amp; " Months"</f>
        <v>1516 Months</v>
      </c>
      <c r="J197" s="4">
        <f>EDATE(I197,3)</f>
        <v>91</v>
      </c>
      <c r="M197" s="3">
        <f>I197+L197</f>
        <v>0</v>
      </c>
      <c r="N197" s="9">
        <f ca="1">L197-(TODAY()-I197)</f>
        <v>-46173</v>
      </c>
      <c r="O197" s="8" t="str">
        <f ca="1">IF(J197="","",
IF(TODAY()&lt;=J197,"Active",
IF(N197&gt;0,"Grace",
IF(N197&gt;-30,"Inactive","Freeze"))))</f>
        <v>Freeze</v>
      </c>
      <c r="P197" s="10"/>
      <c r="Q197" s="11">
        <f>COUNTA(T197:CA197)</f>
        <v>0</v>
      </c>
      <c r="R197" s="3">
        <f>K197-Q197</f>
        <v>0</v>
      </c>
      <c r="S197" s="8" t="str">
        <f>IF(Q197&gt;=K197,"Complete","Incomplete")</f>
        <v>Complete</v>
      </c>
      <c r="CI197" s="4" t="str">
        <f t="shared" si="6"/>
        <v/>
      </c>
      <c r="CJ197" s="13" t="str">
        <f>IF(OR(P197="",CI197=""),"",P197/CI197)</f>
        <v/>
      </c>
      <c r="CK197" s="5">
        <f t="shared" ca="1" si="7"/>
        <v>46173</v>
      </c>
      <c r="CL197" s="13" t="str">
        <f ca="1">IF(OR(I197="",J197="",CJ197="",CK197=""),"",
IF(AND(J197&gt;=EOMONTH(CK197,-1)+1,I197&lt;=EOMONTH(CK197,0)),
CJ197*
(MAX(0,MIN(J197,EOMONTH(CK197,0)) - MAX(I197,EOMONTH(CK197,-1)+1) + 1)
/
DAY(EOMONTH(CK197,0))
),
0))</f>
        <v/>
      </c>
    </row>
    <row r="198" spans="1:90" x14ac:dyDescent="0.2">
      <c r="D198" s="3">
        <f ca="1">DATEDIF(C198,TODAY(),"Y") + DATEDIF(C198,TODAY(),"YM")/10</f>
        <v>126.4</v>
      </c>
      <c r="H198" s="7" t="str">
        <f ca="1">DATEDIF(G198,TODAY(),"M") &amp; " Months"</f>
        <v>1516 Months</v>
      </c>
      <c r="J198" s="4">
        <f>EDATE(I198,3)</f>
        <v>91</v>
      </c>
      <c r="M198" s="3">
        <f>I198+L198</f>
        <v>0</v>
      </c>
      <c r="N198" s="9">
        <f ca="1">L198-(TODAY()-I198)</f>
        <v>-46173</v>
      </c>
      <c r="O198" s="8" t="str">
        <f ca="1">IF(J198="","",
IF(TODAY()&lt;=J198,"Active",
IF(N198&gt;0,"Grace",
IF(N198&gt;-30,"Inactive","Freeze"))))</f>
        <v>Freeze</v>
      </c>
      <c r="P198" s="10"/>
      <c r="Q198" s="11">
        <f>COUNTA(T198:CA198)</f>
        <v>0</v>
      </c>
      <c r="R198" s="3">
        <f>K198-Q198</f>
        <v>0</v>
      </c>
      <c r="S198" s="8" t="str">
        <f>IF(Q198&gt;=K198,"Complete","Incomplete")</f>
        <v>Complete</v>
      </c>
      <c r="CI198" s="4" t="str">
        <f t="shared" si="6"/>
        <v/>
      </c>
      <c r="CJ198" s="13" t="str">
        <f>IF(OR(P198="",CI198=""),"",P198/CI198)</f>
        <v/>
      </c>
      <c r="CK198" s="5">
        <f t="shared" ca="1" si="7"/>
        <v>46173</v>
      </c>
      <c r="CL198" s="13" t="str">
        <f ca="1">IF(OR(I198="",J198="",CJ198="",CK198=""),"",
IF(AND(J198&gt;=EOMONTH(CK198,-1)+1,I198&lt;=EOMONTH(CK198,0)),
CJ198*
(MAX(0,MIN(J198,EOMONTH(CK198,0)) - MAX(I198,EOMONTH(CK198,-1)+1) + 1)
/
DAY(EOMONTH(CK198,0))
),
0))</f>
        <v/>
      </c>
    </row>
    <row r="199" spans="1:90" x14ac:dyDescent="0.2">
      <c r="D199" s="3">
        <f ca="1">DATEDIF(C199,TODAY(),"Y") + DATEDIF(C199,TODAY(),"YM")/10</f>
        <v>126.4</v>
      </c>
      <c r="H199" s="7" t="str">
        <f ca="1">DATEDIF(G199,TODAY(),"M") &amp; " Months"</f>
        <v>1516 Months</v>
      </c>
      <c r="J199" s="4">
        <f>EDATE(I199,3)</f>
        <v>91</v>
      </c>
      <c r="M199" s="3">
        <f>I199+L199</f>
        <v>0</v>
      </c>
      <c r="N199" s="9">
        <f ca="1">L199-(TODAY()-I199)</f>
        <v>-46173</v>
      </c>
      <c r="O199" s="8" t="str">
        <f ca="1">IF(J199="","",
IF(TODAY()&lt;=J199,"Active",
IF(N199&gt;0,"Grace",
IF(N199&gt;-30,"Inactive","Freeze"))))</f>
        <v>Freeze</v>
      </c>
      <c r="P199" s="10"/>
      <c r="Q199" s="11">
        <f>COUNTA(T199:CA199)</f>
        <v>0</v>
      </c>
      <c r="R199" s="3">
        <f>K199-Q199</f>
        <v>0</v>
      </c>
      <c r="S199" s="8" t="str">
        <f>IF(Q199&gt;=K199,"Complete","Incomplete")</f>
        <v>Complete</v>
      </c>
      <c r="CI199" s="4" t="str">
        <f t="shared" si="6"/>
        <v/>
      </c>
      <c r="CJ199" s="13" t="str">
        <f>IF(OR(P199="",CI199=""),"",P199/CI199)</f>
        <v/>
      </c>
      <c r="CK199" s="5">
        <f t="shared" ca="1" si="7"/>
        <v>46173</v>
      </c>
      <c r="CL199" s="13" t="str">
        <f ca="1">IF(OR(I199="",J199="",CJ199="",CK199=""),"",
IF(AND(J199&gt;=EOMONTH(CK199,-1)+1,I199&lt;=EOMONTH(CK199,0)),
CJ199*
(MAX(0,MIN(J199,EOMONTH(CK199,0)) - MAX(I199,EOMONTH(CK199,-1)+1) + 1)
/
DAY(EOMONTH(CK199,0))
),
0))</f>
        <v/>
      </c>
    </row>
    <row r="200" spans="1:90" x14ac:dyDescent="0.2">
      <c r="D200" s="3">
        <f ca="1">DATEDIF(C200,TODAY(),"Y") + DATEDIF(C200,TODAY(),"YM")/10</f>
        <v>126.4</v>
      </c>
      <c r="H200" s="7" t="str">
        <f ca="1">DATEDIF(G200,TODAY(),"M") &amp; " Months"</f>
        <v>1516 Months</v>
      </c>
      <c r="J200" s="4">
        <f>EDATE(I200,3)</f>
        <v>91</v>
      </c>
      <c r="M200" s="3">
        <f>I200+L200</f>
        <v>0</v>
      </c>
      <c r="N200" s="9">
        <f ca="1">L200-(TODAY()-I200)</f>
        <v>-46173</v>
      </c>
      <c r="O200" s="8" t="str">
        <f ca="1">IF(J200="","",
IF(TODAY()&lt;=J200,"Active",
IF(N200&gt;0,"Grace",
IF(N200&gt;-30,"Inactive","Freeze"))))</f>
        <v>Freeze</v>
      </c>
      <c r="P200" s="10"/>
      <c r="Q200" s="11">
        <f>COUNTA(T200:CA200)</f>
        <v>0</v>
      </c>
      <c r="R200" s="3">
        <f>K200-Q200</f>
        <v>0</v>
      </c>
      <c r="S200" s="8" t="str">
        <f>IF(Q200&gt;=K200,"Complete","Incomplete")</f>
        <v>Complete</v>
      </c>
      <c r="CI200" s="4" t="str">
        <f t="shared" si="6"/>
        <v/>
      </c>
      <c r="CJ200" s="13" t="str">
        <f>IF(OR(P200="",CI200=""),"",P200/CI200)</f>
        <v/>
      </c>
      <c r="CK200" s="5">
        <f t="shared" ca="1" si="7"/>
        <v>46173</v>
      </c>
      <c r="CL200" s="13" t="str">
        <f ca="1">IF(OR(I200="",J200="",CJ200="",CK200=""),"",
IF(AND(J200&gt;=EOMONTH(CK200,-1)+1,I200&lt;=EOMONTH(CK200,0)),
CJ200*
(MAX(0,MIN(J200,EOMONTH(CK200,0)) - MAX(I200,EOMONTH(CK200,-1)+1) + 1)
/
DAY(EOMONTH(CK200,0))
),
0))</f>
        <v/>
      </c>
    </row>
    <row r="201" spans="1:90" x14ac:dyDescent="0.2">
      <c r="B201" s="3" t="s">
        <v>407</v>
      </c>
      <c r="C201" s="6">
        <v>44040</v>
      </c>
      <c r="D201" s="3">
        <f ca="1">DATEDIF(C201,TODAY(),"Y") + DATEDIF(C201,TODAY(),"YM")/10</f>
        <v>6</v>
      </c>
      <c r="E201" s="3" t="s">
        <v>125</v>
      </c>
      <c r="F201" s="3">
        <v>8128305524</v>
      </c>
      <c r="G201" s="7">
        <v>45948</v>
      </c>
      <c r="H201" s="7" t="str">
        <f ca="1">DATEDIF(G201,TODAY(),"M") &amp; " Months"</f>
        <v>7 Months</v>
      </c>
      <c r="I201" s="4">
        <v>46105</v>
      </c>
      <c r="J201" s="4">
        <f>EDATE(I201,1)</f>
        <v>46136</v>
      </c>
      <c r="K201" s="8">
        <v>12</v>
      </c>
      <c r="L201" s="8">
        <v>36</v>
      </c>
      <c r="M201" s="3">
        <f>I201+L201</f>
        <v>46141</v>
      </c>
      <c r="N201" s="9">
        <f ca="1">L201-(TODAY()-I201)</f>
        <v>-32</v>
      </c>
      <c r="O201" s="8" t="str">
        <f ca="1">IF(J201="","",
IF(TODAY()&lt;=J201,"Active",
IF(N201&gt;0,"Grace",
IF(N201&gt;-30,"Inactive","Freeze"))))</f>
        <v>Freeze</v>
      </c>
      <c r="P201" s="10">
        <v>3200</v>
      </c>
      <c r="Q201" s="11">
        <f>COUNTA(T201:CA201)</f>
        <v>2</v>
      </c>
      <c r="R201" s="3">
        <f>K201-Q201</f>
        <v>10</v>
      </c>
      <c r="S201" s="8" t="str">
        <f>IF(Q201&gt;=K201,"Complete","Incomplete")</f>
        <v>Incomplete</v>
      </c>
      <c r="T201" s="14">
        <v>46105</v>
      </c>
      <c r="U201" s="14">
        <v>46107</v>
      </c>
      <c r="CI201" s="4" t="str">
        <f t="shared" si="6"/>
        <v>1</v>
      </c>
      <c r="CJ201" s="13">
        <f>IF(OR(P201="",CI201=""),"",P201/CI201)</f>
        <v>3200</v>
      </c>
      <c r="CK201" s="5">
        <f t="shared" ca="1" si="7"/>
        <v>46173</v>
      </c>
      <c r="CL201" s="13">
        <f ca="1">IF(OR(I201="",J201="",CJ201="",CK201=""),"",
IF(AND(J201&gt;=EOMONTH(CK201,-1)+1,I201&lt;=EOMONTH(CK201,0)),
CJ201*
(MAX(0,MIN(J201,EOMONTH(CK201,0)) - MAX(I201,EOMONTH(CK201,-1)+1) + 1)
/
DAY(EOMONTH(CK201,0))
),
0))</f>
        <v>0</v>
      </c>
    </row>
    <row r="202" spans="1:90" x14ac:dyDescent="0.2">
      <c r="B202" s="3" t="s">
        <v>408</v>
      </c>
      <c r="D202" s="3">
        <f ca="1">DATEDIF(C202,TODAY(),"Y") + DATEDIF(C202,TODAY(),"YM")/10</f>
        <v>126.4</v>
      </c>
      <c r="E202" s="3" t="s">
        <v>409</v>
      </c>
      <c r="F202" s="3">
        <v>7798626574</v>
      </c>
      <c r="G202" s="7">
        <v>46054</v>
      </c>
      <c r="H202" s="7" t="str">
        <f ca="1">DATEDIF(G202,TODAY(),"M") &amp; " Months"</f>
        <v>3 Months</v>
      </c>
      <c r="I202" s="4">
        <v>46115</v>
      </c>
      <c r="J202" s="4">
        <f>EDATE(I202,1)</f>
        <v>46145</v>
      </c>
      <c r="K202" s="8">
        <v>8</v>
      </c>
      <c r="L202" s="8">
        <v>34</v>
      </c>
      <c r="M202" s="3">
        <f>I202+L202</f>
        <v>46149</v>
      </c>
      <c r="N202" s="9">
        <f ca="1">L202-(TODAY()-I202)</f>
        <v>-24</v>
      </c>
      <c r="O202" s="8" t="str">
        <f ca="1">IF(J202="","",
IF(TODAY()&lt;=J202,"Active",
IF(N202&gt;0,"Grace",
IF(N202&gt;-30,"Inactive","Freeze"))))</f>
        <v>Inactive</v>
      </c>
      <c r="P202" s="10">
        <v>2600</v>
      </c>
      <c r="Q202" s="11">
        <f>COUNTA(T202:CA202)</f>
        <v>1</v>
      </c>
      <c r="R202" s="3">
        <f>K202-Q202</f>
        <v>7</v>
      </c>
      <c r="S202" s="8" t="str">
        <f>IF(Q202&gt;=K202,"Complete","Incomplete")</f>
        <v>Incomplete</v>
      </c>
      <c r="T202" s="14">
        <v>46116</v>
      </c>
      <c r="CI202" s="3"/>
      <c r="CJ202" s="13"/>
      <c r="CK202" s="3"/>
      <c r="CL202" s="13"/>
    </row>
  </sheetData>
  <phoneticPr fontId="2" alignment="center"/>
  <conditionalFormatting sqref="A3:CC202">
    <cfRule type="expression" dxfId="4" priority="38">
      <formula>AND($J3&lt;&gt;"", TODAY()&gt;$J3+30)</formula>
    </cfRule>
    <cfRule type="expression" dxfId="3" priority="39">
      <formula>AND(TODAY()&gt;$J3, TODAY()&lt;=$J3+$L3, $N3&gt;0)</formula>
    </cfRule>
    <cfRule type="expression" dxfId="2" priority="40">
      <formula>$O3="Active"</formula>
    </cfRule>
    <cfRule type="expression" dxfId="1" priority="41">
      <formula>$O3="Inactive"</formula>
    </cfRule>
  </conditionalFormatting>
  <conditionalFormatting sqref="R3:R202">
    <cfRule type="expression" dxfId="0" priority="1">
      <formula>$R3&lt;0</formula>
    </cfRule>
  </conditionalFormatting>
  <pageMargins left="0.75" right="0.75" top="1" bottom="1" header="0.5" footer="0.5"/>
  <pageSetup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45F48-9EA0-4AF9-92BB-346CAE40786C}">
  <dimension ref="A1:X134"/>
  <sheetViews>
    <sheetView tabSelected="1" workbookViewId="0">
      <selection activeCell="C27" sqref="C27"/>
    </sheetView>
  </sheetViews>
  <sheetFormatPr defaultRowHeight="15" x14ac:dyDescent="0.2"/>
  <cols>
    <col min="1" max="1" width="8.609375" style="86"/>
    <col min="2" max="2" width="15.87109375" bestFit="1" customWidth="1"/>
    <col min="3" max="3" width="10.22265625" bestFit="1" customWidth="1"/>
    <col min="4" max="4" width="3.2265625" customWidth="1"/>
    <col min="5" max="5" width="9.14453125" bestFit="1" customWidth="1"/>
    <col min="6" max="6" width="4.4375" bestFit="1" customWidth="1"/>
    <col min="7" max="8" width="9.14453125" bestFit="1" customWidth="1"/>
    <col min="9" max="9" width="16.0078125" customWidth="1"/>
    <col min="10" max="12" width="9.14453125" bestFit="1" customWidth="1"/>
    <col min="13" max="13" width="6.05078125" customWidth="1"/>
  </cols>
  <sheetData>
    <row r="1" spans="1:24" s="86" customFormat="1" x14ac:dyDescent="0.2">
      <c r="A1" s="95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</row>
    <row r="2" spans="1:24" x14ac:dyDescent="0.2">
      <c r="A2" s="95"/>
      <c r="B2" s="111" t="s">
        <v>410</v>
      </c>
      <c r="C2" s="111"/>
      <c r="D2" s="112"/>
      <c r="I2" s="105" t="s">
        <v>411</v>
      </c>
      <c r="J2" s="105"/>
      <c r="K2" s="105"/>
    </row>
    <row r="3" spans="1:24" x14ac:dyDescent="0.2">
      <c r="A3" s="95"/>
      <c r="B3" s="76" t="s">
        <v>8</v>
      </c>
      <c r="C3" s="81">
        <f ca="1">TODAY()</f>
        <v>46173</v>
      </c>
      <c r="D3" s="110"/>
      <c r="E3" s="32"/>
      <c r="F3" s="68" t="s">
        <v>412</v>
      </c>
      <c r="G3" s="68" t="s">
        <v>413</v>
      </c>
      <c r="I3" s="76" t="s">
        <v>8</v>
      </c>
      <c r="J3" s="113">
        <f ca="1">TODAY()</f>
        <v>46173</v>
      </c>
      <c r="K3" s="114"/>
      <c r="M3" s="68" t="s">
        <v>412</v>
      </c>
      <c r="N3" s="68" t="s">
        <v>413</v>
      </c>
    </row>
    <row r="4" spans="1:24" x14ac:dyDescent="0.2">
      <c r="A4" s="95"/>
      <c r="B4" s="76" t="s">
        <v>9</v>
      </c>
      <c r="C4" s="81">
        <v>46265</v>
      </c>
      <c r="D4" s="110"/>
      <c r="E4" s="32"/>
      <c r="F4" s="66">
        <v>1</v>
      </c>
      <c r="G4" s="67">
        <v>400</v>
      </c>
      <c r="I4" s="76" t="s">
        <v>9</v>
      </c>
      <c r="J4" s="113">
        <v>46265</v>
      </c>
      <c r="K4" s="114"/>
      <c r="M4" s="66">
        <v>1</v>
      </c>
      <c r="N4" s="67">
        <v>1100</v>
      </c>
    </row>
    <row r="5" spans="1:24" x14ac:dyDescent="0.2">
      <c r="A5" s="95"/>
      <c r="B5" s="98"/>
      <c r="C5" s="99"/>
      <c r="D5" s="110"/>
      <c r="E5" s="32"/>
      <c r="F5" s="66">
        <v>2</v>
      </c>
      <c r="G5" s="67">
        <v>325</v>
      </c>
      <c r="I5" s="78"/>
      <c r="J5" s="79"/>
      <c r="K5" s="80"/>
      <c r="M5" s="66">
        <v>2</v>
      </c>
      <c r="N5" s="67">
        <v>1000</v>
      </c>
    </row>
    <row r="6" spans="1:24" x14ac:dyDescent="0.2">
      <c r="A6" s="95"/>
      <c r="B6" s="76" t="s">
        <v>414</v>
      </c>
      <c r="C6" s="85" t="s">
        <v>415</v>
      </c>
      <c r="D6" s="110"/>
      <c r="E6" s="32"/>
      <c r="F6" s="66">
        <v>3</v>
      </c>
      <c r="G6" s="67">
        <v>267</v>
      </c>
      <c r="I6" s="76" t="s">
        <v>414</v>
      </c>
      <c r="J6" s="77" t="s">
        <v>415</v>
      </c>
      <c r="K6" s="82"/>
      <c r="M6" s="66">
        <v>3</v>
      </c>
      <c r="N6" s="67">
        <v>900</v>
      </c>
    </row>
    <row r="7" spans="1:24" x14ac:dyDescent="0.2">
      <c r="A7" s="95"/>
      <c r="B7" s="76" t="s">
        <v>416</v>
      </c>
      <c r="C7" s="85" t="s">
        <v>417</v>
      </c>
      <c r="D7" s="110"/>
      <c r="E7" s="32"/>
      <c r="F7" s="66">
        <v>4</v>
      </c>
      <c r="G7" s="67">
        <v>245</v>
      </c>
      <c r="I7" s="76" t="s">
        <v>416</v>
      </c>
      <c r="J7" s="77" t="s">
        <v>417</v>
      </c>
      <c r="K7" s="83"/>
      <c r="M7" s="66">
        <v>4</v>
      </c>
      <c r="N7" s="67">
        <v>850</v>
      </c>
    </row>
    <row r="8" spans="1:24" x14ac:dyDescent="0.2">
      <c r="A8" s="95"/>
      <c r="B8" s="76" t="s">
        <v>418</v>
      </c>
      <c r="C8" s="85" t="s">
        <v>415</v>
      </c>
      <c r="D8" s="110"/>
      <c r="E8" s="32"/>
      <c r="F8" s="66">
        <v>5</v>
      </c>
      <c r="G8" s="67">
        <v>220</v>
      </c>
      <c r="I8" s="76" t="s">
        <v>418</v>
      </c>
      <c r="J8" s="77" t="s">
        <v>415</v>
      </c>
      <c r="K8" s="83"/>
      <c r="M8" s="66">
        <v>5</v>
      </c>
      <c r="N8" s="67">
        <v>800</v>
      </c>
    </row>
    <row r="9" spans="1:24" x14ac:dyDescent="0.2">
      <c r="A9" s="95"/>
      <c r="B9" s="76" t="s">
        <v>419</v>
      </c>
      <c r="C9" s="85" t="s">
        <v>417</v>
      </c>
      <c r="D9" s="110"/>
      <c r="E9" s="32"/>
      <c r="F9" s="66">
        <v>6</v>
      </c>
      <c r="G9" s="67">
        <v>208</v>
      </c>
      <c r="I9" s="76" t="s">
        <v>419</v>
      </c>
      <c r="J9" s="77" t="s">
        <v>417</v>
      </c>
      <c r="K9" s="83"/>
      <c r="M9" s="66">
        <v>6</v>
      </c>
      <c r="N9" s="67">
        <v>750</v>
      </c>
    </row>
    <row r="10" spans="1:24" x14ac:dyDescent="0.2">
      <c r="A10" s="95"/>
      <c r="B10" s="76" t="s">
        <v>420</v>
      </c>
      <c r="C10" s="85" t="s">
        <v>415</v>
      </c>
      <c r="D10" s="110"/>
      <c r="E10" s="32"/>
      <c r="I10" s="76" t="s">
        <v>420</v>
      </c>
      <c r="J10" s="77" t="s">
        <v>415</v>
      </c>
      <c r="K10" s="83"/>
    </row>
    <row r="11" spans="1:24" x14ac:dyDescent="0.2">
      <c r="A11" s="95"/>
      <c r="B11" s="76" t="s">
        <v>421</v>
      </c>
      <c r="C11" s="85" t="s">
        <v>417</v>
      </c>
      <c r="D11" s="110"/>
      <c r="E11" s="32"/>
      <c r="I11" s="76" t="s">
        <v>421</v>
      </c>
      <c r="J11" s="77" t="s">
        <v>417</v>
      </c>
      <c r="K11" s="83"/>
    </row>
    <row r="12" spans="1:24" x14ac:dyDescent="0.2">
      <c r="A12" s="95"/>
      <c r="B12" s="76" t="s">
        <v>422</v>
      </c>
      <c r="C12" s="85" t="s">
        <v>417</v>
      </c>
      <c r="D12" s="110"/>
      <c r="E12" s="32"/>
      <c r="I12" s="76" t="s">
        <v>422</v>
      </c>
      <c r="J12" s="77" t="s">
        <v>417</v>
      </c>
      <c r="K12" s="84"/>
    </row>
    <row r="13" spans="1:24" x14ac:dyDescent="0.2">
      <c r="A13" s="95"/>
      <c r="B13" s="93" t="s">
        <v>423</v>
      </c>
      <c r="C13" s="102"/>
      <c r="D13" s="110"/>
      <c r="E13" s="32"/>
      <c r="I13" s="78"/>
      <c r="J13" s="79"/>
      <c r="K13" s="80"/>
    </row>
    <row r="14" spans="1:24" x14ac:dyDescent="0.2">
      <c r="A14" s="95"/>
      <c r="B14" s="76" t="s">
        <v>424</v>
      </c>
      <c r="C14" s="103" cm="1">
        <f t="array" aca="1" ref="C14" ca="1">SUMPRODUCT((TEXT(ROW(INDIRECT(C3&amp;":"&amp;C4)),"dddd")="Monday")*(C6="Yes"))+
SUMPRODUCT((TEXT(ROW(INDIRECT(C3&amp;":"&amp;C4)),"dddd")="Tuesday")*(C7="Yes"))+
SUMPRODUCT((TEXT(ROW(INDIRECT(C3&amp;":"&amp;C4)),"dddd")="Wednesday")*(C8="Yes"))+
SUMPRODUCT((TEXT(ROW(INDIRECT(C3&amp;":"&amp;C4)),"dddd")="Thursday")*(C9="Yes"))+
SUMPRODUCT((TEXT(ROW(INDIRECT(C3&amp;":"&amp;C4)),"dddd")="Friday")*(C10="Yes"))+
SUMPRODUCT((TEXT(ROW(INDIRECT(C3&amp;":"&amp;C4)),"dddd")="Saturday")*(C11="Yes"))+
SUMPRODUCT((TEXT(ROW(INDIRECT(C3&amp;":"&amp;C4)),"dddd")="Sunday")*(C12="Yes"))</f>
        <v>40</v>
      </c>
      <c r="D14" s="110"/>
      <c r="I14" s="76" t="s">
        <v>424</v>
      </c>
      <c r="J14" s="75" cm="1">
        <f t="array" aca="1" ref="J14" ca="1">SUMPRODUCT((TEXT(ROW(INDIRECT(J3&amp;":"&amp;J4)),"dddd")="Monday")*(J6="Yes"))+
SUMPRODUCT((TEXT(ROW(INDIRECT(J3&amp;":"&amp;J4)),"dddd")="Tuesday")*(J7="Yes"))+
SUMPRODUCT((TEXT(ROW(INDIRECT(J3&amp;":"&amp;J4)),"dddd")="Wednesday")*(J8="Yes"))+
SUMPRODUCT((TEXT(ROW(INDIRECT(J3&amp;":"&amp;J4)),"dddd")="Thursday")*(J9="Yes"))+
SUMPRODUCT((TEXT(ROW(INDIRECT(J3&amp;":"&amp;J4)),"dddd")="Friday")*(J10="Yes"))+
SUMPRODUCT((TEXT(ROW(INDIRECT(J3&amp;":"&amp;J4)),"dddd")="Saturday")*(J11="Yes"))+
SUMPRODUCT((TEXT(ROW(INDIRECT(J3&amp;":"&amp;J4)),"dddd")="Sunday")*(J12="Yes"))</f>
        <v>40</v>
      </c>
      <c r="K14" s="74">
        <v>20</v>
      </c>
    </row>
    <row r="15" spans="1:24" x14ac:dyDescent="0.2">
      <c r="A15" s="95"/>
      <c r="B15" s="76" t="s">
        <v>425</v>
      </c>
      <c r="C15" s="92">
        <f>IF(D15=1,400,IF(D15=2,325,IF(D15=3,267,IF(D15=4,245,IF(D15=5,220,IF(D15=6,208,""))))))</f>
        <v>267</v>
      </c>
      <c r="D15" s="104">
        <f>COUNTIF(C6:C12,"Yes")</f>
        <v>3</v>
      </c>
      <c r="E15" s="32"/>
      <c r="I15" s="76" t="s">
        <v>425</v>
      </c>
      <c r="J15" s="73">
        <f>IF(K15=1,1100,IF(K15=2,1000,IF(K15=3,900,IF(K15=4,850,IF(K15=5,800,IF(K15=6,750,""))))))</f>
        <v>900</v>
      </c>
      <c r="K15" s="72">
        <f>COUNTIF(J6:J12,"Yes")</f>
        <v>3</v>
      </c>
    </row>
    <row r="16" spans="1:24" x14ac:dyDescent="0.2">
      <c r="A16" s="95"/>
      <c r="B16" s="76" t="s">
        <v>426</v>
      </c>
      <c r="C16" s="97">
        <f ca="1">ROUND(C14*C15,0)</f>
        <v>10680</v>
      </c>
      <c r="D16" s="107"/>
      <c r="E16" s="32"/>
      <c r="I16" s="76" t="s">
        <v>426</v>
      </c>
      <c r="J16" s="71">
        <f ca="1">ROUND(J14*J15,0)</f>
        <v>36000</v>
      </c>
      <c r="K16" s="77"/>
    </row>
    <row r="17" spans="1:11" x14ac:dyDescent="0.2">
      <c r="A17" s="95"/>
      <c r="B17" s="87" t="s">
        <v>427</v>
      </c>
      <c r="C17" s="96">
        <f ca="1">C16-(C16*C13/100)</f>
        <v>10680</v>
      </c>
      <c r="D17" s="108"/>
      <c r="E17" s="32"/>
      <c r="I17" s="76" t="s">
        <v>427</v>
      </c>
      <c r="J17" s="70">
        <f ca="1">J16-(J16*K14/100)</f>
        <v>28800</v>
      </c>
      <c r="K17" s="77"/>
    </row>
    <row r="18" spans="1:11" x14ac:dyDescent="0.2">
      <c r="A18" s="95"/>
      <c r="B18" s="100"/>
      <c r="C18" s="101"/>
      <c r="D18" s="108"/>
    </row>
    <row r="19" spans="1:11" x14ac:dyDescent="0.2">
      <c r="A19" s="95"/>
      <c r="B19" s="90" t="s">
        <v>428</v>
      </c>
      <c r="C19" s="88">
        <f ca="1">C4-C3</f>
        <v>92</v>
      </c>
      <c r="D19" s="108"/>
    </row>
    <row r="20" spans="1:11" x14ac:dyDescent="0.2">
      <c r="A20" s="95"/>
      <c r="B20" s="91" t="s">
        <v>429</v>
      </c>
      <c r="C20" s="89">
        <f ca="1">ROUND((C4-C3)/30,0)*IF(D15=2,4,IF(OR(D15=3,D15=4),6,IF(OR(D15=5,D15=6),8,0)))</f>
        <v>18</v>
      </c>
      <c r="D20" s="108"/>
    </row>
    <row r="21" spans="1:11" x14ac:dyDescent="0.2">
      <c r="A21" s="95"/>
      <c r="B21" s="91" t="s">
        <v>561</v>
      </c>
      <c r="C21" s="94">
        <f ca="1">C19+C20</f>
        <v>110</v>
      </c>
      <c r="D21" s="109"/>
    </row>
    <row r="22" spans="1:11" s="95" customFormat="1" x14ac:dyDescent="0.2"/>
    <row r="23" spans="1:11" s="95" customFormat="1" x14ac:dyDescent="0.2"/>
    <row r="24" spans="1:11" s="95" customFormat="1" x14ac:dyDescent="0.2"/>
    <row r="25" spans="1:11" s="95" customFormat="1" x14ac:dyDescent="0.2"/>
    <row r="26" spans="1:11" s="95" customFormat="1" x14ac:dyDescent="0.2"/>
    <row r="27" spans="1:11" s="95" customFormat="1" x14ac:dyDescent="0.2"/>
    <row r="28" spans="1:11" s="95" customFormat="1" x14ac:dyDescent="0.2"/>
    <row r="29" spans="1:11" s="95" customFormat="1" x14ac:dyDescent="0.2"/>
    <row r="30" spans="1:11" s="95" customFormat="1" x14ac:dyDescent="0.2"/>
    <row r="31" spans="1:11" s="95" customFormat="1" x14ac:dyDescent="0.2"/>
    <row r="32" spans="1:11" s="95" customFormat="1" x14ac:dyDescent="0.2"/>
    <row r="33" s="95" customFormat="1" x14ac:dyDescent="0.2"/>
    <row r="34" s="95" customFormat="1" x14ac:dyDescent="0.2"/>
    <row r="35" s="95" customFormat="1" x14ac:dyDescent="0.2"/>
    <row r="36" s="95" customFormat="1" x14ac:dyDescent="0.2"/>
    <row r="37" s="95" customFormat="1" x14ac:dyDescent="0.2"/>
    <row r="38" s="95" customFormat="1" x14ac:dyDescent="0.2"/>
    <row r="39" s="95" customFormat="1" x14ac:dyDescent="0.2"/>
    <row r="40" s="95" customFormat="1" x14ac:dyDescent="0.2"/>
    <row r="41" s="95" customFormat="1" x14ac:dyDescent="0.2"/>
    <row r="42" s="95" customFormat="1" x14ac:dyDescent="0.2"/>
    <row r="43" s="95" customFormat="1" x14ac:dyDescent="0.2"/>
    <row r="44" s="95" customFormat="1" x14ac:dyDescent="0.2"/>
    <row r="45" s="95" customFormat="1" x14ac:dyDescent="0.2"/>
    <row r="46" s="95" customFormat="1" x14ac:dyDescent="0.2"/>
    <row r="47" s="95" customFormat="1" x14ac:dyDescent="0.2"/>
    <row r="48" s="95" customFormat="1" x14ac:dyDescent="0.2"/>
    <row r="49" s="95" customFormat="1" x14ac:dyDescent="0.2"/>
    <row r="50" s="95" customFormat="1" x14ac:dyDescent="0.2"/>
    <row r="51" s="95" customFormat="1" x14ac:dyDescent="0.2"/>
    <row r="52" s="95" customFormat="1" x14ac:dyDescent="0.2"/>
    <row r="53" s="95" customFormat="1" x14ac:dyDescent="0.2"/>
    <row r="54" s="95" customFormat="1" x14ac:dyDescent="0.2"/>
    <row r="55" s="95" customFormat="1" x14ac:dyDescent="0.2"/>
    <row r="56" s="95" customFormat="1" x14ac:dyDescent="0.2"/>
    <row r="57" s="95" customFormat="1" x14ac:dyDescent="0.2"/>
    <row r="58" s="95" customFormat="1" x14ac:dyDescent="0.2"/>
    <row r="59" s="95" customFormat="1" x14ac:dyDescent="0.2"/>
    <row r="60" s="95" customFormat="1" x14ac:dyDescent="0.2"/>
    <row r="61" s="95" customFormat="1" x14ac:dyDescent="0.2"/>
    <row r="62" s="95" customFormat="1" x14ac:dyDescent="0.2"/>
    <row r="63" s="95" customFormat="1" x14ac:dyDescent="0.2"/>
    <row r="64" s="95" customFormat="1" x14ac:dyDescent="0.2"/>
    <row r="65" s="95" customFormat="1" x14ac:dyDescent="0.2"/>
    <row r="66" s="95" customFormat="1" x14ac:dyDescent="0.2"/>
    <row r="67" s="95" customFormat="1" x14ac:dyDescent="0.2"/>
    <row r="68" s="95" customFormat="1" x14ac:dyDescent="0.2"/>
    <row r="69" s="95" customFormat="1" x14ac:dyDescent="0.2"/>
    <row r="70" s="95" customFormat="1" x14ac:dyDescent="0.2"/>
    <row r="71" s="95" customFormat="1" x14ac:dyDescent="0.2"/>
    <row r="72" s="95" customFormat="1" x14ac:dyDescent="0.2"/>
    <row r="73" s="95" customFormat="1" x14ac:dyDescent="0.2"/>
    <row r="74" s="95" customFormat="1" x14ac:dyDescent="0.2"/>
    <row r="75" s="95" customFormat="1" x14ac:dyDescent="0.2"/>
    <row r="76" s="95" customFormat="1" x14ac:dyDescent="0.2"/>
    <row r="77" s="95" customFormat="1" x14ac:dyDescent="0.2"/>
    <row r="78" s="95" customFormat="1" x14ac:dyDescent="0.2"/>
    <row r="79" s="95" customFormat="1" x14ac:dyDescent="0.2"/>
    <row r="80" s="95" customFormat="1" x14ac:dyDescent="0.2"/>
    <row r="81" s="95" customFormat="1" x14ac:dyDescent="0.2"/>
    <row r="82" s="95" customFormat="1" x14ac:dyDescent="0.2"/>
    <row r="83" s="95" customFormat="1" x14ac:dyDescent="0.2"/>
    <row r="84" s="95" customFormat="1" x14ac:dyDescent="0.2"/>
    <row r="85" s="95" customFormat="1" x14ac:dyDescent="0.2"/>
    <row r="86" s="95" customFormat="1" x14ac:dyDescent="0.2"/>
    <row r="87" s="95" customFormat="1" x14ac:dyDescent="0.2"/>
    <row r="88" s="95" customFormat="1" x14ac:dyDescent="0.2"/>
    <row r="89" s="95" customFormat="1" x14ac:dyDescent="0.2"/>
    <row r="90" s="95" customFormat="1" x14ac:dyDescent="0.2"/>
    <row r="91" s="95" customFormat="1" x14ac:dyDescent="0.2"/>
    <row r="92" s="95" customFormat="1" x14ac:dyDescent="0.2"/>
    <row r="93" s="95" customFormat="1" x14ac:dyDescent="0.2"/>
    <row r="94" s="95" customFormat="1" x14ac:dyDescent="0.2"/>
    <row r="95" s="95" customFormat="1" x14ac:dyDescent="0.2"/>
    <row r="96" s="95" customFormat="1" x14ac:dyDescent="0.2"/>
    <row r="97" s="95" customFormat="1" x14ac:dyDescent="0.2"/>
    <row r="98" s="95" customFormat="1" x14ac:dyDescent="0.2"/>
    <row r="99" s="95" customFormat="1" x14ac:dyDescent="0.2"/>
    <row r="100" s="95" customFormat="1" x14ac:dyDescent="0.2"/>
    <row r="101" s="95" customFormat="1" x14ac:dyDescent="0.2"/>
    <row r="102" s="95" customFormat="1" x14ac:dyDescent="0.2"/>
    <row r="103" s="95" customFormat="1" x14ac:dyDescent="0.2"/>
    <row r="104" s="95" customFormat="1" x14ac:dyDescent="0.2"/>
    <row r="105" s="95" customFormat="1" x14ac:dyDescent="0.2"/>
    <row r="106" s="95" customFormat="1" x14ac:dyDescent="0.2"/>
    <row r="107" s="95" customFormat="1" x14ac:dyDescent="0.2"/>
    <row r="108" s="95" customFormat="1" x14ac:dyDescent="0.2"/>
    <row r="109" s="95" customFormat="1" x14ac:dyDescent="0.2"/>
    <row r="110" s="95" customFormat="1" x14ac:dyDescent="0.2"/>
    <row r="111" s="95" customFormat="1" x14ac:dyDescent="0.2"/>
    <row r="112" s="95" customFormat="1" x14ac:dyDescent="0.2"/>
    <row r="113" s="95" customFormat="1" x14ac:dyDescent="0.2"/>
    <row r="114" s="95" customFormat="1" x14ac:dyDescent="0.2"/>
    <row r="115" s="95" customFormat="1" x14ac:dyDescent="0.2"/>
    <row r="116" s="95" customFormat="1" x14ac:dyDescent="0.2"/>
    <row r="117" s="95" customFormat="1" x14ac:dyDescent="0.2"/>
    <row r="118" s="95" customFormat="1" x14ac:dyDescent="0.2"/>
    <row r="119" s="95" customFormat="1" x14ac:dyDescent="0.2"/>
    <row r="120" s="95" customFormat="1" x14ac:dyDescent="0.2"/>
    <row r="121" s="95" customFormat="1" x14ac:dyDescent="0.2"/>
    <row r="122" s="95" customFormat="1" x14ac:dyDescent="0.2"/>
    <row r="123" s="95" customFormat="1" x14ac:dyDescent="0.2"/>
    <row r="124" s="95" customFormat="1" x14ac:dyDescent="0.2"/>
    <row r="125" s="95" customFormat="1" x14ac:dyDescent="0.2"/>
    <row r="126" s="95" customFormat="1" x14ac:dyDescent="0.2"/>
    <row r="127" s="95" customFormat="1" x14ac:dyDescent="0.2"/>
    <row r="128" s="95" customFormat="1" x14ac:dyDescent="0.2"/>
    <row r="129" s="95" customFormat="1" x14ac:dyDescent="0.2"/>
    <row r="130" s="95" customFormat="1" x14ac:dyDescent="0.2"/>
    <row r="131" s="95" customFormat="1" x14ac:dyDescent="0.2"/>
    <row r="132" s="95" customFormat="1" x14ac:dyDescent="0.2"/>
    <row r="133" s="95" customFormat="1" x14ac:dyDescent="0.2"/>
    <row r="134" s="95" customFormat="1" x14ac:dyDescent="0.2"/>
  </sheetData>
  <mergeCells count="6">
    <mergeCell ref="B1:X1"/>
    <mergeCell ref="D16:D21"/>
    <mergeCell ref="D3:D14"/>
    <mergeCell ref="B2:D2"/>
    <mergeCell ref="J3:K3"/>
    <mergeCell ref="J4:K4"/>
  </mergeCells>
  <dataValidations count="1">
    <dataValidation type="list" allowBlank="1" showInputMessage="1" showErrorMessage="1" sqref="C6:C12 J6:J12" xr:uid="{1126B89F-6884-4832-AB04-6062C99901ED}">
      <formula1>"Yes,No"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54EFF-97B1-4F7B-9C11-C2F92D8DE696}">
  <dimension ref="B2:I17"/>
  <sheetViews>
    <sheetView topLeftCell="B1" workbookViewId="0">
      <selection activeCell="F29" sqref="F29"/>
    </sheetView>
  </sheetViews>
  <sheetFormatPr defaultRowHeight="15" x14ac:dyDescent="0.2"/>
  <cols>
    <col min="2" max="2" width="13.98828125" bestFit="1" customWidth="1"/>
    <col min="3" max="8" width="12.5078125" bestFit="1" customWidth="1"/>
  </cols>
  <sheetData>
    <row r="2" spans="2:9" x14ac:dyDescent="0.2">
      <c r="B2" s="39" t="s">
        <v>430</v>
      </c>
      <c r="C2" s="39" t="s">
        <v>414</v>
      </c>
      <c r="D2" s="39" t="s">
        <v>416</v>
      </c>
      <c r="E2" s="39" t="s">
        <v>418</v>
      </c>
      <c r="F2" s="39" t="s">
        <v>419</v>
      </c>
      <c r="G2" s="39" t="s">
        <v>420</v>
      </c>
      <c r="H2" s="39" t="s">
        <v>421</v>
      </c>
      <c r="I2" s="39" t="s">
        <v>422</v>
      </c>
    </row>
    <row r="3" spans="2:9" x14ac:dyDescent="0.2">
      <c r="B3" s="38" t="s">
        <v>431</v>
      </c>
      <c r="C3" s="43"/>
      <c r="D3" s="43"/>
      <c r="E3" s="43"/>
      <c r="F3" s="43"/>
      <c r="G3" s="43"/>
      <c r="H3" s="43"/>
      <c r="I3" s="44"/>
    </row>
    <row r="4" spans="2:9" x14ac:dyDescent="0.2">
      <c r="B4" s="40" t="s">
        <v>432</v>
      </c>
      <c r="C4" s="38"/>
      <c r="D4" s="38"/>
      <c r="E4" s="38"/>
      <c r="F4" s="38"/>
      <c r="G4" s="38"/>
      <c r="H4" s="38"/>
      <c r="I4" s="69"/>
    </row>
    <row r="5" spans="2:9" x14ac:dyDescent="0.2">
      <c r="B5" s="41" t="s">
        <v>433</v>
      </c>
      <c r="C5" s="115" t="s">
        <v>434</v>
      </c>
      <c r="D5" s="115"/>
      <c r="E5" s="115"/>
      <c r="F5" s="115"/>
      <c r="G5" s="115"/>
      <c r="H5" s="115"/>
      <c r="I5" s="115"/>
    </row>
    <row r="6" spans="2:9" x14ac:dyDescent="0.2">
      <c r="B6" s="42" t="s">
        <v>435</v>
      </c>
      <c r="C6" s="69" t="s">
        <v>436</v>
      </c>
      <c r="D6" s="69"/>
      <c r="E6" s="69" t="s">
        <v>436</v>
      </c>
      <c r="F6" s="69"/>
      <c r="G6" s="69"/>
      <c r="H6" s="69" t="s">
        <v>437</v>
      </c>
      <c r="I6" s="69"/>
    </row>
    <row r="7" spans="2:9" x14ac:dyDescent="0.2">
      <c r="B7" s="42" t="s">
        <v>438</v>
      </c>
      <c r="C7" s="69"/>
      <c r="D7" s="69"/>
      <c r="E7" s="69"/>
      <c r="F7" s="69"/>
      <c r="G7" s="69"/>
      <c r="H7" s="69" t="s">
        <v>439</v>
      </c>
      <c r="I7" s="69"/>
    </row>
    <row r="8" spans="2:9" x14ac:dyDescent="0.2">
      <c r="B8" s="69" t="s">
        <v>440</v>
      </c>
      <c r="C8" s="45"/>
      <c r="D8" s="45" t="s">
        <v>441</v>
      </c>
      <c r="E8" s="45"/>
      <c r="F8" s="45" t="s">
        <v>441</v>
      </c>
      <c r="G8" s="45"/>
      <c r="H8" s="45" t="s">
        <v>441</v>
      </c>
      <c r="I8" s="45"/>
    </row>
    <row r="9" spans="2:9" x14ac:dyDescent="0.2">
      <c r="B9" s="37"/>
      <c r="C9" s="116" t="s">
        <v>442</v>
      </c>
      <c r="D9" s="117"/>
      <c r="E9" s="117"/>
      <c r="F9" s="117"/>
      <c r="G9" s="117"/>
      <c r="H9" s="117"/>
      <c r="I9" s="118"/>
    </row>
    <row r="10" spans="2:9" x14ac:dyDescent="0.2">
      <c r="B10" s="37" t="s">
        <v>443</v>
      </c>
      <c r="C10" s="37"/>
      <c r="D10" s="37"/>
      <c r="E10" s="37"/>
      <c r="F10" s="37"/>
      <c r="G10" s="37"/>
      <c r="H10" s="37"/>
      <c r="I10" s="37"/>
    </row>
    <row r="11" spans="2:9" x14ac:dyDescent="0.2">
      <c r="B11" s="37" t="s">
        <v>444</v>
      </c>
      <c r="C11" s="37"/>
      <c r="D11" s="37"/>
      <c r="E11" s="37"/>
      <c r="F11" s="37"/>
      <c r="G11" s="37"/>
      <c r="H11" s="37"/>
      <c r="I11" s="37"/>
    </row>
    <row r="12" spans="2:9" x14ac:dyDescent="0.2">
      <c r="B12" s="69" t="s">
        <v>445</v>
      </c>
      <c r="C12" s="69" t="s">
        <v>446</v>
      </c>
      <c r="D12" s="69" t="s">
        <v>447</v>
      </c>
      <c r="E12" s="69" t="s">
        <v>446</v>
      </c>
      <c r="F12" s="69" t="s">
        <v>447</v>
      </c>
      <c r="G12" s="69" t="s">
        <v>446</v>
      </c>
      <c r="H12" s="69" t="s">
        <v>447</v>
      </c>
      <c r="I12" s="69"/>
    </row>
    <row r="13" spans="2:9" x14ac:dyDescent="0.2">
      <c r="B13" s="38" t="s">
        <v>448</v>
      </c>
      <c r="C13" s="38" t="s">
        <v>449</v>
      </c>
      <c r="D13" s="38" t="s">
        <v>449</v>
      </c>
      <c r="E13" s="38" t="s">
        <v>449</v>
      </c>
      <c r="F13" s="38" t="s">
        <v>449</v>
      </c>
      <c r="G13" s="38" t="s">
        <v>449</v>
      </c>
      <c r="H13" s="38" t="s">
        <v>449</v>
      </c>
      <c r="I13" s="69"/>
    </row>
    <row r="14" spans="2:9" x14ac:dyDescent="0.2">
      <c r="B14" s="38" t="s">
        <v>450</v>
      </c>
      <c r="C14" s="38" t="s">
        <v>449</v>
      </c>
      <c r="D14" s="38" t="s">
        <v>449</v>
      </c>
      <c r="E14" s="38" t="s">
        <v>449</v>
      </c>
      <c r="F14" s="38" t="s">
        <v>449</v>
      </c>
      <c r="G14" s="38" t="s">
        <v>449</v>
      </c>
      <c r="H14" s="38" t="s">
        <v>449</v>
      </c>
      <c r="I14" s="69"/>
    </row>
    <row r="15" spans="2:9" x14ac:dyDescent="0.2">
      <c r="B15" s="38" t="s">
        <v>451</v>
      </c>
      <c r="C15" s="38" t="s">
        <v>452</v>
      </c>
      <c r="D15" s="38" t="s">
        <v>452</v>
      </c>
      <c r="E15" s="38" t="s">
        <v>452</v>
      </c>
      <c r="F15" s="38" t="s">
        <v>452</v>
      </c>
      <c r="G15" s="38" t="s">
        <v>452</v>
      </c>
      <c r="H15" s="38" t="s">
        <v>452</v>
      </c>
      <c r="I15" s="69"/>
    </row>
    <row r="16" spans="2:9" x14ac:dyDescent="0.2">
      <c r="B16" s="38" t="s">
        <v>453</v>
      </c>
      <c r="C16" s="38" t="s">
        <v>452</v>
      </c>
      <c r="D16" s="38" t="s">
        <v>452</v>
      </c>
      <c r="E16" s="38" t="s">
        <v>452</v>
      </c>
      <c r="F16" s="38" t="s">
        <v>452</v>
      </c>
      <c r="G16" s="38" t="s">
        <v>452</v>
      </c>
      <c r="H16" s="38" t="s">
        <v>452</v>
      </c>
      <c r="I16" s="69"/>
    </row>
    <row r="17" spans="2:9" x14ac:dyDescent="0.2">
      <c r="B17" s="69" t="s">
        <v>454</v>
      </c>
      <c r="C17" s="69" t="s">
        <v>455</v>
      </c>
      <c r="D17" s="69"/>
      <c r="E17" s="69" t="s">
        <v>455</v>
      </c>
      <c r="F17" s="69" t="s">
        <v>439</v>
      </c>
      <c r="G17" s="69" t="s">
        <v>455</v>
      </c>
      <c r="H17" s="69"/>
      <c r="I17" s="69"/>
    </row>
  </sheetData>
  <autoFilter ref="B2:I17" xr:uid="{A9E54EFF-97B1-4F7B-9C11-C2F92D8DE696}"/>
  <mergeCells count="2">
    <mergeCell ref="C5:I5"/>
    <mergeCell ref="C9:I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52026-8608-4958-AD9F-5BF82F8B9DDC}">
  <dimension ref="A1:E10"/>
  <sheetViews>
    <sheetView workbookViewId="0">
      <selection activeCell="I2" sqref="I2"/>
    </sheetView>
  </sheetViews>
  <sheetFormatPr defaultColWidth="9.14453125" defaultRowHeight="15" x14ac:dyDescent="0.2"/>
  <cols>
    <col min="1" max="1" width="6.1875" style="23" bestFit="1" customWidth="1"/>
    <col min="2" max="2" width="18.29296875" style="23" customWidth="1"/>
    <col min="3" max="3" width="22.59765625" style="23" customWidth="1"/>
    <col min="4" max="4" width="16.0078125" style="23" customWidth="1"/>
    <col min="5" max="5" width="31.87890625" style="23" customWidth="1"/>
    <col min="6" max="16384" width="9.14453125" style="23"/>
  </cols>
  <sheetData>
    <row r="1" spans="1:5" s="27" customFormat="1" x14ac:dyDescent="0.2">
      <c r="A1" s="29" t="s">
        <v>456</v>
      </c>
      <c r="B1" s="29" t="s">
        <v>457</v>
      </c>
      <c r="C1" s="29" t="s">
        <v>458</v>
      </c>
      <c r="D1" s="29" t="s">
        <v>459</v>
      </c>
      <c r="E1" s="29" t="s">
        <v>460</v>
      </c>
    </row>
    <row r="2" spans="1:5" ht="68.25" x14ac:dyDescent="0.2">
      <c r="A2" s="26">
        <v>1</v>
      </c>
      <c r="B2" s="26" t="s">
        <v>461</v>
      </c>
      <c r="C2" s="28" t="s">
        <v>462</v>
      </c>
      <c r="D2" s="28">
        <v>8855071830</v>
      </c>
      <c r="E2" s="25" t="s">
        <v>463</v>
      </c>
    </row>
    <row r="3" spans="1:5" ht="54.75" x14ac:dyDescent="0.2">
      <c r="A3" s="26">
        <v>2</v>
      </c>
      <c r="B3" s="26" t="s">
        <v>461</v>
      </c>
      <c r="C3" s="28" t="s">
        <v>464</v>
      </c>
      <c r="D3" s="28">
        <v>9529032408</v>
      </c>
      <c r="E3" s="25" t="s">
        <v>465</v>
      </c>
    </row>
    <row r="4" spans="1:5" x14ac:dyDescent="0.2">
      <c r="A4" s="26">
        <v>3</v>
      </c>
      <c r="B4" s="26"/>
      <c r="C4" s="26"/>
      <c r="D4" s="26"/>
      <c r="E4" s="24"/>
    </row>
    <row r="5" spans="1:5" x14ac:dyDescent="0.2">
      <c r="A5" s="26">
        <v>4</v>
      </c>
      <c r="B5" s="26"/>
      <c r="C5" s="26"/>
      <c r="D5" s="26"/>
      <c r="E5" s="24"/>
    </row>
    <row r="6" spans="1:5" x14ac:dyDescent="0.2">
      <c r="A6" s="26">
        <v>5</v>
      </c>
      <c r="B6" s="26"/>
      <c r="C6" s="26"/>
      <c r="D6" s="26"/>
      <c r="E6" s="24"/>
    </row>
    <row r="7" spans="1:5" x14ac:dyDescent="0.2">
      <c r="A7" s="26">
        <v>6</v>
      </c>
      <c r="B7" s="26"/>
      <c r="C7" s="26"/>
      <c r="D7" s="26"/>
      <c r="E7" s="24"/>
    </row>
    <row r="8" spans="1:5" x14ac:dyDescent="0.2">
      <c r="A8" s="26">
        <v>7</v>
      </c>
      <c r="B8" s="26"/>
      <c r="C8" s="26"/>
      <c r="D8" s="26"/>
      <c r="E8" s="24"/>
    </row>
    <row r="9" spans="1:5" x14ac:dyDescent="0.2">
      <c r="A9" s="26"/>
      <c r="B9" s="26"/>
      <c r="C9" s="26"/>
      <c r="D9" s="26"/>
      <c r="E9" s="24"/>
    </row>
    <row r="10" spans="1:5" x14ac:dyDescent="0.2">
      <c r="A10" s="27"/>
      <c r="B10" s="27"/>
      <c r="C10" s="27"/>
      <c r="D10" s="2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5ADE3-C9C4-6D47-9CFB-D150FE2ED1C9}">
  <dimension ref="B2:F55"/>
  <sheetViews>
    <sheetView zoomScaleNormal="100" zoomScaleSheetLayoutView="100" workbookViewId="0">
      <selection activeCell="G26" sqref="G26"/>
    </sheetView>
  </sheetViews>
  <sheetFormatPr defaultColWidth="9.14453125" defaultRowHeight="15" x14ac:dyDescent="0.2"/>
  <cols>
    <col min="1" max="1" width="9.14453125" style="55"/>
    <col min="2" max="2" width="15.33203125" style="55" bestFit="1" customWidth="1"/>
    <col min="3" max="3" width="8.609375" style="55" customWidth="1"/>
    <col min="4" max="4" width="14.52734375" style="55" bestFit="1" customWidth="1"/>
    <col min="5" max="5" width="13.85546875" style="55" bestFit="1" customWidth="1"/>
    <col min="6" max="6" width="34.03125" style="55" bestFit="1" customWidth="1"/>
    <col min="7" max="16384" width="9.14453125" style="55"/>
  </cols>
  <sheetData>
    <row r="2" spans="2:6" x14ac:dyDescent="0.2">
      <c r="B2" s="119" t="s">
        <v>92</v>
      </c>
      <c r="C2" s="120"/>
      <c r="D2" s="120"/>
      <c r="E2" s="120"/>
      <c r="F2" s="121"/>
    </row>
    <row r="3" spans="2:6" x14ac:dyDescent="0.2">
      <c r="B3" s="34" t="s">
        <v>1</v>
      </c>
      <c r="C3" s="34" t="s">
        <v>466</v>
      </c>
      <c r="D3" s="34" t="s">
        <v>467</v>
      </c>
      <c r="E3" s="34" t="s">
        <v>468</v>
      </c>
      <c r="F3" s="35" t="s">
        <v>469</v>
      </c>
    </row>
    <row r="4" spans="2:6" x14ac:dyDescent="0.2">
      <c r="B4" s="34" t="s">
        <v>156</v>
      </c>
      <c r="C4" s="34">
        <v>11</v>
      </c>
      <c r="D4" s="34" t="s">
        <v>470</v>
      </c>
      <c r="E4" s="34">
        <v>9767560623</v>
      </c>
      <c r="F4" s="35"/>
    </row>
    <row r="5" spans="2:6" x14ac:dyDescent="0.2">
      <c r="B5" s="34" t="s">
        <v>471</v>
      </c>
      <c r="C5" s="34">
        <v>5</v>
      </c>
      <c r="D5" s="34" t="s">
        <v>472</v>
      </c>
      <c r="E5" s="34">
        <v>9595951931</v>
      </c>
      <c r="F5" s="35"/>
    </row>
    <row r="6" spans="2:6" x14ac:dyDescent="0.2">
      <c r="B6" s="34" t="s">
        <v>473</v>
      </c>
      <c r="C6" s="34">
        <v>5.6</v>
      </c>
      <c r="D6" s="34" t="s">
        <v>115</v>
      </c>
      <c r="E6" s="34">
        <v>8237815875</v>
      </c>
      <c r="F6" s="35" t="s">
        <v>474</v>
      </c>
    </row>
    <row r="7" spans="2:6" x14ac:dyDescent="0.2">
      <c r="B7" s="34" t="s">
        <v>475</v>
      </c>
      <c r="C7" s="34">
        <v>4.8</v>
      </c>
      <c r="D7" s="34" t="s">
        <v>115</v>
      </c>
      <c r="E7" s="34">
        <v>8237815875</v>
      </c>
      <c r="F7" s="35" t="s">
        <v>474</v>
      </c>
    </row>
    <row r="8" spans="2:6" x14ac:dyDescent="0.2">
      <c r="B8" s="34" t="s">
        <v>476</v>
      </c>
      <c r="C8" s="34">
        <v>8</v>
      </c>
      <c r="D8" s="34" t="s">
        <v>119</v>
      </c>
      <c r="E8" s="34">
        <v>7058352229</v>
      </c>
      <c r="F8" s="35" t="s">
        <v>477</v>
      </c>
    </row>
    <row r="9" spans="2:6" x14ac:dyDescent="0.2">
      <c r="B9" s="34" t="s">
        <v>478</v>
      </c>
      <c r="C9" s="34">
        <v>5</v>
      </c>
      <c r="D9" s="34" t="s">
        <v>125</v>
      </c>
      <c r="E9" s="34">
        <v>8128305524</v>
      </c>
      <c r="F9" s="35"/>
    </row>
    <row r="10" spans="2:6" x14ac:dyDescent="0.2">
      <c r="B10" s="34" t="s">
        <v>479</v>
      </c>
      <c r="C10" s="34">
        <v>3</v>
      </c>
      <c r="D10" s="34" t="s">
        <v>480</v>
      </c>
      <c r="E10" s="34">
        <v>8329348922</v>
      </c>
      <c r="F10" s="35"/>
    </row>
    <row r="11" spans="2:6" x14ac:dyDescent="0.2">
      <c r="B11" s="34" t="s">
        <v>481</v>
      </c>
      <c r="C11" s="34">
        <v>7</v>
      </c>
      <c r="D11" s="34" t="s">
        <v>197</v>
      </c>
      <c r="E11" s="34">
        <v>9654256633</v>
      </c>
      <c r="F11" s="35" t="s">
        <v>482</v>
      </c>
    </row>
    <row r="12" spans="2:6" x14ac:dyDescent="0.2">
      <c r="B12" s="34" t="s">
        <v>483</v>
      </c>
      <c r="C12" s="34">
        <v>4</v>
      </c>
      <c r="D12" s="34" t="s">
        <v>484</v>
      </c>
      <c r="E12" s="34">
        <v>9970008977</v>
      </c>
      <c r="F12" s="35"/>
    </row>
    <row r="13" spans="2:6" x14ac:dyDescent="0.2">
      <c r="B13" s="34" t="s">
        <v>485</v>
      </c>
      <c r="C13" s="34">
        <v>3</v>
      </c>
      <c r="D13" s="34" t="s">
        <v>141</v>
      </c>
      <c r="E13" s="34">
        <v>9637114493</v>
      </c>
      <c r="F13" s="35"/>
    </row>
    <row r="14" spans="2:6" x14ac:dyDescent="0.2">
      <c r="B14" s="34" t="s">
        <v>486</v>
      </c>
      <c r="C14" s="34">
        <v>13</v>
      </c>
      <c r="D14" s="34" t="s">
        <v>487</v>
      </c>
      <c r="E14" s="34">
        <v>8600144111</v>
      </c>
      <c r="F14" s="35"/>
    </row>
    <row r="15" spans="2:6" x14ac:dyDescent="0.2">
      <c r="B15" s="34" t="s">
        <v>488</v>
      </c>
      <c r="C15" s="34">
        <v>15</v>
      </c>
      <c r="D15" s="34" t="s">
        <v>489</v>
      </c>
      <c r="E15" s="34">
        <v>8975162500</v>
      </c>
      <c r="F15" s="35"/>
    </row>
    <row r="16" spans="2:6" x14ac:dyDescent="0.2">
      <c r="B16" s="34" t="s">
        <v>490</v>
      </c>
      <c r="C16" s="34">
        <v>7</v>
      </c>
      <c r="D16" s="34" t="s">
        <v>491</v>
      </c>
      <c r="E16" s="34">
        <v>9167957841</v>
      </c>
      <c r="F16" s="35"/>
    </row>
    <row r="17" spans="2:6" x14ac:dyDescent="0.2">
      <c r="B17" s="34" t="s">
        <v>492</v>
      </c>
      <c r="C17" s="34">
        <v>4</v>
      </c>
      <c r="D17" s="34" t="s">
        <v>491</v>
      </c>
      <c r="E17" s="34">
        <v>9167957841</v>
      </c>
      <c r="F17" s="35"/>
    </row>
    <row r="18" spans="2:6" x14ac:dyDescent="0.2">
      <c r="B18" s="34" t="s">
        <v>493</v>
      </c>
      <c r="C18" s="34">
        <v>3</v>
      </c>
      <c r="D18" s="34" t="s">
        <v>494</v>
      </c>
      <c r="E18" s="34">
        <v>9834885138</v>
      </c>
      <c r="F18" s="35"/>
    </row>
    <row r="19" spans="2:6" x14ac:dyDescent="0.2">
      <c r="B19" s="34" t="s">
        <v>495</v>
      </c>
      <c r="C19" s="34">
        <v>5</v>
      </c>
      <c r="D19" s="34" t="s">
        <v>496</v>
      </c>
      <c r="E19" s="34">
        <v>8128438004</v>
      </c>
      <c r="F19" s="35"/>
    </row>
    <row r="20" spans="2:6" x14ac:dyDescent="0.2">
      <c r="B20" s="34" t="s">
        <v>497</v>
      </c>
      <c r="C20" s="34">
        <v>15</v>
      </c>
      <c r="D20" s="34" t="s">
        <v>498</v>
      </c>
      <c r="E20" s="34">
        <v>7798626574</v>
      </c>
      <c r="F20" s="35" t="s">
        <v>499</v>
      </c>
    </row>
    <row r="21" spans="2:6" x14ac:dyDescent="0.2">
      <c r="B21" s="34" t="s">
        <v>500</v>
      </c>
      <c r="C21" s="34">
        <v>4</v>
      </c>
      <c r="D21" s="34" t="s">
        <v>101</v>
      </c>
      <c r="E21" s="34">
        <v>9028904657</v>
      </c>
      <c r="F21" s="35" t="s">
        <v>501</v>
      </c>
    </row>
    <row r="22" spans="2:6" x14ac:dyDescent="0.2">
      <c r="B22" s="34" t="s">
        <v>502</v>
      </c>
      <c r="C22" s="34">
        <v>9</v>
      </c>
      <c r="D22" s="34" t="s">
        <v>503</v>
      </c>
      <c r="E22" s="34">
        <v>9784550962</v>
      </c>
      <c r="F22" s="35" t="s">
        <v>504</v>
      </c>
    </row>
    <row r="23" spans="2:6" x14ac:dyDescent="0.2">
      <c r="B23" s="34" t="s">
        <v>505</v>
      </c>
      <c r="C23" s="34">
        <v>4</v>
      </c>
      <c r="D23" s="34" t="s">
        <v>506</v>
      </c>
      <c r="E23" s="34">
        <v>7715057293</v>
      </c>
      <c r="F23" s="36" t="s">
        <v>507</v>
      </c>
    </row>
    <row r="24" spans="2:6" x14ac:dyDescent="0.2">
      <c r="B24" s="34" t="s">
        <v>508</v>
      </c>
      <c r="C24" s="34">
        <v>12</v>
      </c>
      <c r="D24" s="34" t="s">
        <v>509</v>
      </c>
      <c r="E24" s="34">
        <v>9764412211</v>
      </c>
      <c r="F24" s="35" t="s">
        <v>510</v>
      </c>
    </row>
    <row r="25" spans="2:6" x14ac:dyDescent="0.2">
      <c r="B25" s="34" t="s">
        <v>511</v>
      </c>
      <c r="C25" s="34">
        <v>6.5</v>
      </c>
      <c r="D25" s="34" t="s">
        <v>512</v>
      </c>
      <c r="E25" s="34">
        <v>8484917886</v>
      </c>
      <c r="F25" s="35" t="s">
        <v>513</v>
      </c>
    </row>
    <row r="26" spans="2:6" x14ac:dyDescent="0.2">
      <c r="B26" s="34" t="s">
        <v>514</v>
      </c>
      <c r="C26" s="34">
        <v>3</v>
      </c>
      <c r="D26" s="34" t="s">
        <v>515</v>
      </c>
      <c r="E26" s="34">
        <v>9960560803</v>
      </c>
      <c r="F26" s="35"/>
    </row>
    <row r="27" spans="2:6" x14ac:dyDescent="0.2">
      <c r="B27" s="34" t="s">
        <v>516</v>
      </c>
      <c r="C27" s="34">
        <v>6</v>
      </c>
      <c r="D27" s="34" t="s">
        <v>517</v>
      </c>
      <c r="E27" s="34">
        <v>9910982933</v>
      </c>
      <c r="F27" s="35" t="s">
        <v>513</v>
      </c>
    </row>
    <row r="28" spans="2:6" x14ac:dyDescent="0.2">
      <c r="B28" s="34" t="s">
        <v>518</v>
      </c>
      <c r="C28" s="34">
        <v>2.5</v>
      </c>
      <c r="D28" s="34" t="s">
        <v>378</v>
      </c>
      <c r="E28" s="34">
        <v>8275451889</v>
      </c>
      <c r="F28" s="35"/>
    </row>
    <row r="29" spans="2:6" x14ac:dyDescent="0.2">
      <c r="B29" s="34" t="s">
        <v>120</v>
      </c>
      <c r="C29" s="34">
        <v>6.5</v>
      </c>
      <c r="D29" s="34" t="s">
        <v>519</v>
      </c>
      <c r="E29" s="34">
        <v>8805004678</v>
      </c>
      <c r="F29" s="35" t="s">
        <v>520</v>
      </c>
    </row>
    <row r="30" spans="2:6" x14ac:dyDescent="0.2">
      <c r="B30" s="34" t="s">
        <v>521</v>
      </c>
      <c r="C30" s="34">
        <v>4.1100000000000003</v>
      </c>
      <c r="D30" s="34" t="s">
        <v>522</v>
      </c>
      <c r="E30" s="34">
        <v>9356746404</v>
      </c>
      <c r="F30" s="35" t="s">
        <v>523</v>
      </c>
    </row>
    <row r="31" spans="2:6" x14ac:dyDescent="0.2">
      <c r="B31" s="34" t="s">
        <v>524</v>
      </c>
      <c r="C31" s="34">
        <v>5</v>
      </c>
      <c r="D31" s="34" t="s">
        <v>525</v>
      </c>
      <c r="E31" s="34">
        <v>7420984209</v>
      </c>
      <c r="F31" s="35"/>
    </row>
    <row r="32" spans="2:6" x14ac:dyDescent="0.2">
      <c r="B32" s="34" t="s">
        <v>526</v>
      </c>
      <c r="C32" s="34">
        <v>6</v>
      </c>
      <c r="D32" s="34" t="s">
        <v>527</v>
      </c>
      <c r="E32" s="34">
        <v>9980568842</v>
      </c>
      <c r="F32" s="35"/>
    </row>
    <row r="33" spans="2:6" x14ac:dyDescent="0.2">
      <c r="B33" s="34" t="s">
        <v>528</v>
      </c>
      <c r="C33" s="34">
        <v>4</v>
      </c>
      <c r="D33" s="34" t="s">
        <v>529</v>
      </c>
      <c r="E33" s="34">
        <v>9940372418</v>
      </c>
      <c r="F33" s="35"/>
    </row>
    <row r="34" spans="2:6" x14ac:dyDescent="0.2">
      <c r="B34" s="34" t="s">
        <v>213</v>
      </c>
      <c r="C34" s="34">
        <v>6</v>
      </c>
      <c r="D34" s="34" t="s">
        <v>214</v>
      </c>
      <c r="E34" s="34">
        <v>7498797361</v>
      </c>
      <c r="F34" s="35" t="s">
        <v>530</v>
      </c>
    </row>
    <row r="35" spans="2:6" x14ac:dyDescent="0.2">
      <c r="B35" s="34" t="s">
        <v>514</v>
      </c>
      <c r="C35" s="34">
        <v>4</v>
      </c>
      <c r="D35" s="34" t="s">
        <v>515</v>
      </c>
      <c r="E35" s="34">
        <v>9960560803</v>
      </c>
      <c r="F35" s="35"/>
    </row>
    <row r="36" spans="2:6" x14ac:dyDescent="0.2">
      <c r="B36" s="34" t="s">
        <v>531</v>
      </c>
      <c r="C36" s="34">
        <v>9</v>
      </c>
      <c r="D36" s="34" t="s">
        <v>532</v>
      </c>
      <c r="E36" s="34">
        <v>9823177871</v>
      </c>
      <c r="F36" s="36" t="s">
        <v>507</v>
      </c>
    </row>
    <row r="37" spans="2:6" x14ac:dyDescent="0.2">
      <c r="B37" s="34" t="s">
        <v>533</v>
      </c>
      <c r="C37" s="34">
        <v>4</v>
      </c>
      <c r="D37" s="34" t="s">
        <v>534</v>
      </c>
      <c r="E37" s="34">
        <v>9167280230</v>
      </c>
      <c r="F37" s="35"/>
    </row>
    <row r="38" spans="2:6" x14ac:dyDescent="0.2">
      <c r="B38" s="34" t="s">
        <v>535</v>
      </c>
      <c r="C38" s="34">
        <v>4</v>
      </c>
      <c r="D38" s="34" t="s">
        <v>536</v>
      </c>
      <c r="E38" s="34">
        <v>73384378899</v>
      </c>
      <c r="F38" s="35"/>
    </row>
    <row r="39" spans="2:6" x14ac:dyDescent="0.2">
      <c r="B39" s="34" t="s">
        <v>537</v>
      </c>
      <c r="C39" s="34">
        <v>7</v>
      </c>
      <c r="D39" s="34" t="s">
        <v>534</v>
      </c>
      <c r="E39" s="34">
        <v>9167280230</v>
      </c>
      <c r="F39" s="35"/>
    </row>
    <row r="40" spans="2:6" x14ac:dyDescent="0.2">
      <c r="B40" s="34" t="s">
        <v>538</v>
      </c>
      <c r="C40" s="34">
        <v>13</v>
      </c>
      <c r="D40" s="34" t="s">
        <v>539</v>
      </c>
      <c r="E40" s="34">
        <v>9822887842</v>
      </c>
      <c r="F40" s="35" t="s">
        <v>540</v>
      </c>
    </row>
    <row r="41" spans="2:6" x14ac:dyDescent="0.2">
      <c r="B41" s="57" t="s">
        <v>541</v>
      </c>
      <c r="C41" s="57">
        <v>2.5</v>
      </c>
      <c r="D41" s="57" t="s">
        <v>536</v>
      </c>
      <c r="E41" s="57">
        <v>7338437523</v>
      </c>
      <c r="F41" s="56" t="s">
        <v>542</v>
      </c>
    </row>
    <row r="42" spans="2:6" x14ac:dyDescent="0.2">
      <c r="B42" s="33"/>
      <c r="C42" s="33"/>
      <c r="D42" s="33"/>
      <c r="E42" s="33"/>
      <c r="F42" s="33"/>
    </row>
    <row r="43" spans="2:6" x14ac:dyDescent="0.2">
      <c r="B43" s="33"/>
      <c r="C43" s="33"/>
      <c r="D43" s="33"/>
      <c r="E43" s="33"/>
      <c r="F43" s="33"/>
    </row>
    <row r="44" spans="2:6" x14ac:dyDescent="0.2">
      <c r="B44" s="33"/>
      <c r="C44" s="33"/>
      <c r="D44" s="33"/>
      <c r="E44" s="33"/>
      <c r="F44" s="33"/>
    </row>
    <row r="45" spans="2:6" x14ac:dyDescent="0.2">
      <c r="B45" s="33"/>
      <c r="C45" s="33"/>
      <c r="D45" s="33"/>
      <c r="E45" s="33"/>
      <c r="F45" s="33"/>
    </row>
    <row r="46" spans="2:6" x14ac:dyDescent="0.2">
      <c r="B46" s="33"/>
      <c r="C46" s="33"/>
      <c r="D46" s="33"/>
      <c r="E46" s="33"/>
      <c r="F46" s="33"/>
    </row>
    <row r="47" spans="2:6" x14ac:dyDescent="0.2">
      <c r="B47" s="33"/>
      <c r="C47" s="33"/>
      <c r="D47" s="33"/>
      <c r="E47" s="33"/>
      <c r="F47" s="33"/>
    </row>
    <row r="48" spans="2:6" x14ac:dyDescent="0.2">
      <c r="B48" s="33"/>
      <c r="C48" s="33"/>
      <c r="D48" s="33"/>
      <c r="E48" s="33"/>
      <c r="F48" s="33"/>
    </row>
    <row r="49" spans="2:6" x14ac:dyDescent="0.2">
      <c r="B49" s="33"/>
      <c r="C49" s="33"/>
      <c r="D49" s="33"/>
      <c r="E49" s="33"/>
      <c r="F49" s="33"/>
    </row>
    <row r="50" spans="2:6" x14ac:dyDescent="0.2">
      <c r="B50" s="33"/>
      <c r="C50" s="33"/>
      <c r="D50" s="33"/>
      <c r="E50" s="33"/>
      <c r="F50" s="33"/>
    </row>
    <row r="51" spans="2:6" x14ac:dyDescent="0.2">
      <c r="B51" s="33"/>
      <c r="C51" s="33"/>
      <c r="D51" s="33"/>
      <c r="E51" s="33"/>
      <c r="F51" s="33"/>
    </row>
    <row r="52" spans="2:6" x14ac:dyDescent="0.2">
      <c r="B52" s="33"/>
      <c r="C52" s="33"/>
      <c r="D52" s="33"/>
      <c r="E52" s="33"/>
      <c r="F52" s="33"/>
    </row>
    <row r="53" spans="2:6" x14ac:dyDescent="0.2">
      <c r="B53" s="33"/>
      <c r="C53" s="33"/>
      <c r="D53" s="33"/>
      <c r="E53" s="33"/>
      <c r="F53" s="33"/>
    </row>
    <row r="54" spans="2:6" x14ac:dyDescent="0.2">
      <c r="B54" s="33"/>
      <c r="C54" s="33"/>
      <c r="D54" s="33"/>
      <c r="E54" s="33"/>
      <c r="F54" s="33"/>
    </row>
    <row r="55" spans="2:6" x14ac:dyDescent="0.2">
      <c r="B55" s="33"/>
      <c r="C55" s="33"/>
      <c r="D55" s="33"/>
      <c r="E55" s="33"/>
      <c r="F55" s="33"/>
    </row>
  </sheetData>
  <mergeCells count="1">
    <mergeCell ref="B2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A3CD2-513B-5C48-8E44-E58615858D83}">
  <dimension ref="A1:D14"/>
  <sheetViews>
    <sheetView workbookViewId="0">
      <selection activeCell="L13" sqref="L13"/>
    </sheetView>
  </sheetViews>
  <sheetFormatPr defaultRowHeight="15" x14ac:dyDescent="0.2"/>
  <cols>
    <col min="1" max="1" width="20.04296875" bestFit="1" customWidth="1"/>
    <col min="2" max="2" width="9.14453125" bestFit="1" customWidth="1"/>
    <col min="3" max="3" width="13.44921875" bestFit="1" customWidth="1"/>
    <col min="4" max="4" width="10.22265625" customWidth="1"/>
  </cols>
  <sheetData>
    <row r="1" spans="1:4" x14ac:dyDescent="0.2">
      <c r="A1" s="1"/>
      <c r="B1" s="1"/>
      <c r="C1" s="1"/>
      <c r="D1" s="1"/>
    </row>
    <row r="2" spans="1:4" x14ac:dyDescent="0.2">
      <c r="A2" s="1"/>
      <c r="B2" s="1"/>
      <c r="C2" s="1"/>
      <c r="D2" s="30"/>
    </row>
    <row r="3" spans="1:4" x14ac:dyDescent="0.2">
      <c r="A3" s="1"/>
      <c r="B3" s="1"/>
      <c r="C3" s="1"/>
      <c r="D3" s="1"/>
    </row>
    <row r="4" spans="1:4" x14ac:dyDescent="0.2">
      <c r="A4" s="1"/>
      <c r="B4" s="1"/>
      <c r="C4" s="1"/>
      <c r="D4" s="1"/>
    </row>
    <row r="5" spans="1:4" x14ac:dyDescent="0.2">
      <c r="A5" s="1"/>
      <c r="B5" s="1"/>
      <c r="C5" s="1"/>
      <c r="D5" s="1"/>
    </row>
    <row r="6" spans="1:4" x14ac:dyDescent="0.2">
      <c r="A6" s="1"/>
      <c r="B6" s="1"/>
      <c r="C6" s="1"/>
      <c r="D6" s="1"/>
    </row>
    <row r="7" spans="1:4" x14ac:dyDescent="0.2">
      <c r="A7" s="1"/>
      <c r="B7" s="1"/>
      <c r="C7" s="1"/>
      <c r="D7" s="1"/>
    </row>
    <row r="8" spans="1:4" x14ac:dyDescent="0.2">
      <c r="A8" s="1"/>
      <c r="B8" s="1"/>
      <c r="C8" s="1"/>
      <c r="D8" s="1"/>
    </row>
    <row r="9" spans="1:4" x14ac:dyDescent="0.2">
      <c r="A9" s="1"/>
      <c r="B9" s="1"/>
      <c r="C9" s="1"/>
      <c r="D9" s="1"/>
    </row>
    <row r="10" spans="1:4" x14ac:dyDescent="0.2">
      <c r="A10" s="1"/>
      <c r="B10" s="1"/>
      <c r="C10" s="1"/>
      <c r="D10" s="1"/>
    </row>
    <row r="11" spans="1:4" x14ac:dyDescent="0.2">
      <c r="A11" s="1"/>
      <c r="B11" s="1"/>
      <c r="C11" s="1"/>
      <c r="D11" s="1"/>
    </row>
    <row r="12" spans="1:4" x14ac:dyDescent="0.2">
      <c r="A12" s="1"/>
      <c r="B12" s="1"/>
      <c r="C12" s="1"/>
      <c r="D12" s="1"/>
    </row>
    <row r="13" spans="1:4" x14ac:dyDescent="0.2">
      <c r="A13" s="1"/>
      <c r="B13" s="1"/>
      <c r="C13" s="1"/>
      <c r="D13" s="1"/>
    </row>
    <row r="14" spans="1:4" x14ac:dyDescent="0.2">
      <c r="A14" s="1"/>
      <c r="B14" s="1"/>
      <c r="C14" s="31"/>
      <c r="D14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0025C-CC52-4CA8-A286-C70922651B0B}">
  <dimension ref="E1:G7"/>
  <sheetViews>
    <sheetView workbookViewId="0">
      <selection activeCell="F6" sqref="F6:G8"/>
    </sheetView>
  </sheetViews>
  <sheetFormatPr defaultRowHeight="15" x14ac:dyDescent="0.2"/>
  <cols>
    <col min="5" max="5" width="9.28125" bestFit="1" customWidth="1"/>
    <col min="7" max="7" width="25.55859375" customWidth="1"/>
    <col min="9" max="9" width="25.55859375" customWidth="1"/>
  </cols>
  <sheetData>
    <row r="1" spans="5:7" x14ac:dyDescent="0.2">
      <c r="E1" t="s">
        <v>543</v>
      </c>
    </row>
    <row r="6" spans="5:7" x14ac:dyDescent="0.2">
      <c r="F6" t="s">
        <v>544</v>
      </c>
      <c r="G6" t="s">
        <v>545</v>
      </c>
    </row>
    <row r="7" spans="5:7" x14ac:dyDescent="0.2">
      <c r="F7" t="s">
        <v>546</v>
      </c>
      <c r="G7" t="e">
        <f>VLOOKUP(F7,'Academy Tracker'!A:F,6,0)</f>
        <v>#N/A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A72F0-1B63-5942-BEFA-1069A653326F}">
  <dimension ref="A1"/>
  <sheetViews>
    <sheetView zoomScaleNormal="100" zoomScaleSheetLayoutView="100" workbookViewId="0">
      <selection activeCell="B2" sqref="B2:B8"/>
    </sheetView>
  </sheetViews>
  <sheetFormatPr defaultRowHeight="15" x14ac:dyDescent="0.2"/>
  <cols>
    <col min="2" max="2" width="15.1992187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Academy Tracker</vt:lpstr>
      <vt:lpstr>Fees Calculator</vt:lpstr>
      <vt:lpstr>timetable</vt:lpstr>
      <vt:lpstr>Enquiry</vt:lpstr>
      <vt:lpstr>complain</vt:lpstr>
      <vt:lpstr>Calculations</vt:lpstr>
      <vt:lpstr>Sheet3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2026-04-01T19:00:30Z</dcterms:created>
  <dcterms:modified xsi:type="dcterms:W3CDTF">2026-05-30T12:26:09Z</dcterms:modified>
  <cp:category/>
  <cp:contentStatus/>
</cp:coreProperties>
</file>